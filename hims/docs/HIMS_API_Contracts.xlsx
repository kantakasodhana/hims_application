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2C104B9-CEFC-4AEC-93F9-C100CF8C67F9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Information" sheetId="1" r:id="rId1"/>
    <sheet name="Ref Standards" sheetId="12" r:id="rId2"/>
    <sheet name="Ref Codes" sheetId="13" r:id="rId3"/>
    <sheet name="API Endpoints" sheetId="14" r:id="rId4"/>
    <sheet name="Errors" sheetId="15" r:id="rId5"/>
    <sheet name="FR Coverage" sheetId="16" r:id="rId6"/>
  </sheets>
  <definedNames>
    <definedName name="_xlnm._FilterDatabase" localSheetId="3" hidden="1">'API Endpoints'!$A$3:$O$92</definedName>
    <definedName name="_xlnm._FilterDatabase" localSheetId="4" hidden="1">Errors!$A$3:$D$86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0" i="16" l="1"/>
  <c r="C47" i="16"/>
  <c r="D47" i="16" s="1"/>
  <c r="C46" i="16"/>
  <c r="D46" i="16" s="1"/>
  <c r="C45" i="16"/>
  <c r="D45" i="16" s="1"/>
  <c r="C44" i="16"/>
  <c r="D44" i="16" s="1"/>
  <c r="C43" i="16"/>
  <c r="D43" i="16" s="1"/>
  <c r="C42" i="16"/>
  <c r="D42" i="16" s="1"/>
  <c r="C41" i="16"/>
  <c r="D41" i="16" s="1"/>
  <c r="C40" i="16"/>
  <c r="D40" i="16" s="1"/>
  <c r="C39" i="16"/>
  <c r="D39" i="16" s="1"/>
  <c r="C38" i="16"/>
  <c r="D38" i="16" s="1"/>
  <c r="C37" i="16"/>
  <c r="D37" i="16" s="1"/>
  <c r="C36" i="16"/>
  <c r="D36" i="16" s="1"/>
  <c r="C35" i="16"/>
  <c r="D35" i="16" s="1"/>
  <c r="C34" i="16"/>
  <c r="D34" i="16" s="1"/>
  <c r="C33" i="16"/>
  <c r="D33" i="16" s="1"/>
  <c r="C32" i="16"/>
  <c r="D32" i="16" s="1"/>
  <c r="C31" i="16"/>
  <c r="D31" i="16" s="1"/>
  <c r="C30" i="16"/>
  <c r="D30" i="16" s="1"/>
  <c r="C29" i="16"/>
  <c r="D29" i="16" s="1"/>
  <c r="C28" i="16"/>
  <c r="D28" i="16" s="1"/>
  <c r="C27" i="16"/>
  <c r="D27" i="16" s="1"/>
  <c r="C26" i="16"/>
  <c r="D26" i="16" s="1"/>
  <c r="C25" i="16"/>
  <c r="D25" i="16" s="1"/>
  <c r="C24" i="16"/>
  <c r="D24" i="16" s="1"/>
  <c r="C23" i="16"/>
  <c r="D23" i="16" s="1"/>
  <c r="C22" i="16"/>
  <c r="D22" i="16" s="1"/>
  <c r="C21" i="16"/>
  <c r="D21" i="16" s="1"/>
  <c r="C20" i="16"/>
  <c r="D20" i="16" s="1"/>
  <c r="C19" i="16"/>
  <c r="D19" i="16" s="1"/>
  <c r="C18" i="16"/>
  <c r="D18" i="16" s="1"/>
  <c r="C17" i="16"/>
  <c r="D17" i="16" s="1"/>
  <c r="C16" i="16"/>
  <c r="D16" i="16" s="1"/>
  <c r="C15" i="16"/>
  <c r="D15" i="16" s="1"/>
  <c r="C14" i="16"/>
  <c r="D14" i="16" s="1"/>
  <c r="C13" i="16"/>
  <c r="D13" i="16" s="1"/>
  <c r="C12" i="16"/>
  <c r="D12" i="16" s="1"/>
  <c r="C11" i="16"/>
  <c r="D11" i="16" s="1"/>
  <c r="C10" i="16"/>
  <c r="D10" i="16" s="1"/>
  <c r="C9" i="16"/>
  <c r="D9" i="16" s="1"/>
  <c r="C8" i="16"/>
  <c r="D8" i="16" s="1"/>
  <c r="C7" i="16"/>
  <c r="D7" i="16" s="1"/>
  <c r="C6" i="16"/>
  <c r="D6" i="16" s="1"/>
  <c r="C5" i="16"/>
  <c r="D5" i="16" s="1"/>
  <c r="C4" i="16"/>
  <c r="D4" i="16" s="1"/>
  <c r="D101" i="14"/>
  <c r="D100" i="14"/>
  <c r="D99" i="14"/>
  <c r="D98" i="14"/>
  <c r="D97" i="14"/>
  <c r="D96" i="14"/>
  <c r="D95" i="14"/>
  <c r="C49" i="16" l="1"/>
</calcChain>
</file>

<file path=xl/sharedStrings.xml><?xml version="1.0" encoding="utf-8"?>
<sst xmlns="http://schemas.openxmlformats.org/spreadsheetml/2006/main" count="1935" uniqueCount="1086">
  <si>
    <t>API contract workbook (HIMS)</t>
  </si>
  <si>
    <t>What is an API?</t>
  </si>
  <si>
    <t>An API is a set of fixed doors into a program. A screen uses a door to ask the server for data or for an action. The server does the work. Then the server sends back an answer. The screen never opens the database.</t>
  </si>
  <si>
    <t>Example</t>
  </si>
  <si>
    <t>A patient goes to the reception window of a hospital. The patient gives a filled form. The staff checks the records room. Then the staff gives back a token slip.
The window is the API. The form is the request. The records room is the database. The token slip is the response.</t>
  </si>
  <si>
    <t>Example in HIMS</t>
  </si>
  <si>
    <t>The billing clerk records a UPI payment of 500 on bill 1042.
The screen sends:  POST /api/v1/billing/bills/1042/payments   { "amount_paid": 500.00, "payment_mode": "UPI", "reference_number": "UPI88231" }
The server sends back:  201 Created   { "payment_id": 77, "bill_status": "Partly Paid", "outstanding_amount": 300.00 }
If the amount is more than the balance, the server sends back:  422   { "error_code": "AMOUNT_EXCEEDS_BALANCE", "message": "...", "field": "amount_paid" }</t>
  </si>
  <si>
    <t>What is an API contract?</t>
  </si>
  <si>
    <t>An API contract is a written agreement for each endpoint. It tells: the method, the path, the roles, the request fields, the reply, and the errors. The screen team and the server team both obey it.</t>
  </si>
  <si>
    <t>Why use an API contract?</t>
  </si>
  <si>
    <t>1) The screen team and the server team can work at the same time.
2) All teams use the same field names. Example: amount_paid, not amount.
3) Testers write one test for each success reply and one test for each error.
4) Each endpoint traces to an FR, a use case and a test case. Then the RTM status can change to Designed.</t>
  </si>
  <si>
    <t>Input documents</t>
  </si>
  <si>
    <t>Keep these documents open: SRS (FR and BR), Use case specifications (UC-01 to UC-15), ER model (table and column names), State machines workbook (SM-01 to SM-07), RTM.</t>
  </si>
  <si>
    <t>How to use this workbook</t>
  </si>
  <si>
    <t>1) Do Step 1 to Step 9 in sequence.
2) Do one use case at a time.
3) Read the 'How' line at the top of each sheet.
4) Look at the green example rows. The examples follow UC-10 (take payment) and UC-03 (book appointment).
5) Write your rows in the yellow cells.
6) Copy each finished endpoint into the 'My Contract' sheet.
7) Compare your work with the Solution sheets.</t>
  </si>
  <si>
    <t>Steps</t>
  </si>
  <si>
    <t>Step 1 Actions: find what each screen asks the server.
Step 2 Method: select GET, POST, PUT, PATCH or DELETE.
Step 3 Path: write the address of the endpoint.
Step 4 Roles: write who can use the endpoint.
Step 5 Request: write the fields that the screen sends.
Step 6 Reply: write the status code and the fields that the server sends back.
Step 7 Errors: write each error that can occur.
Step 8 Trace: link each endpoint to FR, UC, BR, SM and test case.
Step 9 Check: do the final checks.</t>
  </si>
  <si>
    <t>Reference sheets</t>
  </si>
  <si>
    <t>Ref Standards: the rules that apply to all endpoints.
Ref Codes: the status codes and what they mean.</t>
  </si>
  <si>
    <t>Solution sheets</t>
  </si>
  <si>
    <t>Sol Endpoints: the complete API contract (all endpoints, Modules A to F).
Sol Errors: all error codes and their meaning.
Sol FR Coverage: a check that each FR has one or more endpoints.</t>
  </si>
  <si>
    <t>Words in this workbook</t>
  </si>
  <si>
    <t>Word</t>
  </si>
  <si>
    <t>Meaning</t>
  </si>
  <si>
    <t>API</t>
  </si>
  <si>
    <t>Application Programming Interface. The set of endpoints of the server.</t>
  </si>
  <si>
    <t>Endpoint</t>
  </si>
  <si>
    <t>One door of the API. One method plus one path. Example: POST /api/v1/appointments.</t>
  </si>
  <si>
    <t>Server</t>
  </si>
  <si>
    <t>The FastAPI program. It does the work and talks to the database.</t>
  </si>
  <si>
    <t>Method</t>
  </si>
  <si>
    <t>The type of action: GET, POST, PUT, PATCH or DELETE.</t>
  </si>
  <si>
    <t>Path</t>
  </si>
  <si>
    <t>The address of the endpoint. Example: /api/v1/billing/bills/{bill_id}.</t>
  </si>
  <si>
    <t>Request</t>
  </si>
  <si>
    <t>The data that the screen sends to the server.</t>
  </si>
  <si>
    <t>Response (reply)</t>
  </si>
  <si>
    <t>The data that the server sends back to the screen.</t>
  </si>
  <si>
    <t>Status code</t>
  </si>
  <si>
    <t>A number in the reply that tells the result. Example: 201 = a new record is made.</t>
  </si>
  <si>
    <t>JSON</t>
  </si>
  <si>
    <t>The text format of the request and the reply. Example: { "amount_paid": 500.00 }.</t>
  </si>
  <si>
    <t>Role</t>
  </si>
  <si>
    <t>The job of the user. Example: Doctor, Billing Clerk.</t>
  </si>
  <si>
    <t>Token</t>
  </si>
  <si>
    <t>A key that the server gives after login. The screen sends it with each request.</t>
  </si>
  <si>
    <t>Field</t>
  </si>
  <si>
    <t>One item of data. Use the ER column name. Example: appointment_date.</t>
  </si>
  <si>
    <t>Legend</t>
  </si>
  <si>
    <t>Column name. Do not change.</t>
  </si>
  <si>
    <t>Example row. Do not change. Use it as a model.</t>
  </si>
  <si>
    <t>You write here.</t>
  </si>
  <si>
    <t>Use case</t>
  </si>
  <si>
    <t>Module</t>
  </si>
  <si>
    <t>UC-10</t>
  </si>
  <si>
    <t>Billing Clerk</t>
  </si>
  <si>
    <t>E</t>
  </si>
  <si>
    <t>UC-03</t>
  </si>
  <si>
    <t>Receptionist</t>
  </si>
  <si>
    <t>B</t>
  </si>
  <si>
    <t>Rule</t>
  </si>
  <si>
    <t>GET</t>
  </si>
  <si>
    <t>POST</t>
  </si>
  <si>
    <t>PATCH</t>
  </si>
  <si>
    <t>PUT</t>
  </si>
  <si>
    <t>Endpoint ID</t>
  </si>
  <si>
    <t>E4</t>
  </si>
  <si>
    <t>/api/v1/billing/bills/{bill_id}</t>
  </si>
  <si>
    <t>-</t>
  </si>
  <si>
    <t>E9</t>
  </si>
  <si>
    <t>/api/v1/billing/bills/{bill_id}/payments</t>
  </si>
  <si>
    <t>E13</t>
  </si>
  <si>
    <t>/api/v1/billing/bills/{bill_id}/print</t>
  </si>
  <si>
    <t>B4</t>
  </si>
  <si>
    <t>/api/v1/appointments/availability</t>
  </si>
  <si>
    <t>B5</t>
  </si>
  <si>
    <t>/api/v1/appointments</t>
  </si>
  <si>
    <t>Allowed roles</t>
  </si>
  <si>
    <t>Billing Clerk, Admin</t>
  </si>
  <si>
    <t>Doctor</t>
  </si>
  <si>
    <t>Module C</t>
  </si>
  <si>
    <t>Lab Technician</t>
  </si>
  <si>
    <t>Module D</t>
  </si>
  <si>
    <t>Module E</t>
  </si>
  <si>
    <t>Admin</t>
  </si>
  <si>
    <t>System Administrator</t>
  </si>
  <si>
    <t>Database Administrator</t>
  </si>
  <si>
    <t>201</t>
  </si>
  <si>
    <t>error_code</t>
  </si>
  <si>
    <t>404</t>
  </si>
  <si>
    <t>BILL_NOT_FOUND</t>
  </si>
  <si>
    <t>Standard</t>
  </si>
  <si>
    <t>409</t>
  </si>
  <si>
    <t>BILL_NOT_FINAL</t>
  </si>
  <si>
    <t>422</t>
  </si>
  <si>
    <t>AMOUNT_NOT_POSITIVE</t>
  </si>
  <si>
    <t>The amount must be more than 0.</t>
  </si>
  <si>
    <t>AMOUNT_EXCEEDS_BALANCE</t>
  </si>
  <si>
    <t>REFERENCE_REQUIRED</t>
  </si>
  <si>
    <t>CLAIM_NOT_APPROVED</t>
  </si>
  <si>
    <t>EXCEEDS_APPROVED_AMOUNT</t>
  </si>
  <si>
    <t>SLOT_ALREADY_BOOKED</t>
  </si>
  <si>
    <t>FR</t>
  </si>
  <si>
    <t>BR</t>
  </si>
  <si>
    <t>SM move</t>
  </si>
  <si>
    <t>Test case</t>
  </si>
  <si>
    <t>FR-E-002</t>
  </si>
  <si>
    <t>BR-E-02</t>
  </si>
  <si>
    <t>TC-E-002</t>
  </si>
  <si>
    <t>FR-E-004</t>
  </si>
  <si>
    <t>BR-E-04</t>
  </si>
  <si>
    <t>SM-06 moves 3, 4, 5</t>
  </si>
  <si>
    <t>TC-E-004</t>
  </si>
  <si>
    <t>FR-E-006</t>
  </si>
  <si>
    <t>BR-E-06</t>
  </si>
  <si>
    <t>TC-E-006</t>
  </si>
  <si>
    <t>FR-B-002</t>
  </si>
  <si>
    <t>BR-B-02</t>
  </si>
  <si>
    <t>TC-B-002</t>
  </si>
  <si>
    <t>SM-01 move 1</t>
  </si>
  <si>
    <t>Result</t>
  </si>
  <si>
    <t>What it does</t>
  </si>
  <si>
    <t>Request fields (* = required)</t>
  </si>
  <si>
    <t>Success code</t>
  </si>
  <si>
    <t>Reply fields</t>
  </si>
  <si>
    <t>Errors</t>
  </si>
  <si>
    <t>Record a payment. The bill moves to Paid or Partly Paid.</t>
  </si>
  <si>
    <t>amount_paid* (more than 0), payment_mode* (Cash | Card | UPI | Insurance), reference_number (necessary for Card, UPI, Insurance), insurance_claim_id (necessary for Insurance)</t>
  </si>
  <si>
    <t>payment_id, bill_id, bill_no, bill_status, final_total, outstanding_amount</t>
  </si>
  <si>
    <t>409 BILL_NOT_FINAL; 422 AMOUNT_NOT_POSITIVE; 422 AMOUNT_EXCEEDS_BALANCE; 422 REFERENCE_REQUIRED; 409 CLAIM_NOT_APPROVED; 422 EXCEEDS_APPROVED_AMOUNT; 404 BILL_NOT_FOUND</t>
  </si>
  <si>
    <t>Reference: standards for all endpoints</t>
  </si>
  <si>
    <t>Base path</t>
  </si>
  <si>
    <t>Start each path with /api/v1/. v1 is the version. A change that breaks the screens needs v2.</t>
  </si>
  <si>
    <t>/api/v1/patients/search</t>
  </si>
  <si>
    <t>Format</t>
  </si>
  <si>
    <t>Send JSON. Get JSON. Use the header Content-Type: application/json. Only file upload uses multipart/form-data.</t>
  </si>
  <si>
    <t>A2 patient documents</t>
  </si>
  <si>
    <t>Login token</t>
  </si>
  <si>
    <t>Send Authorization: Bearer &lt;token&gt; with each request. Login, forgot password and reset password need no token.</t>
  </si>
  <si>
    <t>Authorization: Bearer eyJhbGciOi...</t>
  </si>
  <si>
    <t>Role check</t>
  </si>
  <si>
    <t>The server checks the role on each request (NFR-08). The server writes each denied attempt to AUDIT_LOG.</t>
  </si>
  <si>
    <t>E9: Billing Clerk only</t>
  </si>
  <si>
    <t>No delete</t>
  </si>
  <si>
    <t>Never delete patient, clinical or money rows (NFR-14). Set is_active to false or use a Cancelled status.</t>
  </si>
  <si>
    <t>F10b: no DELETE</t>
  </si>
  <si>
    <t>Field names</t>
  </si>
  <si>
    <t>Use snake_case. Use the ER column name exactly.</t>
  </si>
  <si>
    <t>appointment_date, not apptDate</t>
  </si>
  <si>
    <t>IDs</t>
  </si>
  <si>
    <t>Paths use the internal key (patient_id, bill_id). Replies also send the visible number (mrn, bill_no). Screens show the visible number only.</t>
  </si>
  <si>
    <t>mrn: MRN-0001049</t>
  </si>
  <si>
    <t>Dates and times</t>
  </si>
  <si>
    <t>Use ISO 8601 with the time zone. A date alone is YYYY-MM-DD.</t>
  </si>
  <si>
    <t>2026-10-05T10:30:00+05:30</t>
  </si>
  <si>
    <t>Money</t>
  </si>
  <si>
    <t>Use a decimal with 2 places. The database stores NUMERIC(12,2). Never use a float (NFR-12).</t>
  </si>
  <si>
    <t>"amount_paid": 500.00</t>
  </si>
  <si>
    <t>Status values</t>
  </si>
  <si>
    <t>Use the state machine values exactly. Use the same spelling and capital letters.</t>
  </si>
  <si>
    <t>Partly Paid, Sample Collected</t>
  </si>
  <si>
    <t>Status moves</t>
  </si>
  <si>
    <t>Only the server moves a status. It allows only the moves in SM-01 to SM-07. Other moves get 409 ILLEGAL_STATE_MOVE.</t>
  </si>
  <si>
    <t>Draft -&gt; Paid is refused</t>
  </si>
  <si>
    <t>Lists</t>
  </si>
  <si>
    <t>Use ?page=1&amp;size=50. The maximum size is 100. Send items, total, page, size.</t>
  </si>
  <si>
    <t>Patient search</t>
  </si>
  <si>
    <t>Audit</t>
  </si>
  <si>
    <t>Each create and each change writes AUDIT_LOG in the same transaction (NFR-10, NFR-11).</t>
  </si>
  <si>
    <t>Not shown in the contract</t>
  </si>
  <si>
    <t>Error body</t>
  </si>
  <si>
    <t>Each error has the same body: error_code, message, field (NFR-17).</t>
  </si>
  <si>
    <t>{ "error_code": "SLOT_ALREADY_BOOKED", "message": "...", "field": "appointment_time" }</t>
  </si>
  <si>
    <t>Table owner</t>
  </si>
  <si>
    <t>Only the module that owns a table writes it. Other modules call the service of that module.</t>
  </si>
  <si>
    <t>Module D calls Module E to add a lab charge</t>
  </si>
  <si>
    <t>Reference: status codes</t>
  </si>
  <si>
    <t>How: Use this table to select the status code in Step 6 and Step 7.</t>
  </si>
  <si>
    <t>Code</t>
  </si>
  <si>
    <t>Name</t>
  </si>
  <si>
    <t>Examples</t>
  </si>
  <si>
    <t>200</t>
  </si>
  <si>
    <t>OK</t>
  </si>
  <si>
    <t>The server found the data, or the change or status move is complete.</t>
  </si>
  <si>
    <t>Get a bill. Finalise a bill.</t>
  </si>
  <si>
    <t>Created</t>
  </si>
  <si>
    <t>The server made a new record. The reply has the new record.</t>
  </si>
  <si>
    <t>Book an appointment. Record a payment.</t>
  </si>
  <si>
    <t>204</t>
  </si>
  <si>
    <t>No Content</t>
  </si>
  <si>
    <t>The action is complete. The reply has no data.</t>
  </si>
  <si>
    <t>Logout. Change password.</t>
  </si>
  <si>
    <t>400</t>
  </si>
  <si>
    <t>Bad Request</t>
  </si>
  <si>
    <t>The request is not correct in form. Example: a date is not a date.</t>
  </si>
  <si>
    <t>INVALID_DATE, INVALID_DATE_RANGE</t>
  </si>
  <si>
    <t>401</t>
  </si>
  <si>
    <t>Unauthorized</t>
  </si>
  <si>
    <t>You are not logged in, the token is expired, or the password is wrong.</t>
  </si>
  <si>
    <t>NOT_AUTHENTICATED, TOKEN_EXPIRED, INVALID_CREDENTIALS, ACCOUNT_LOCKED</t>
  </si>
  <si>
    <t>403</t>
  </si>
  <si>
    <t>Forbidden</t>
  </si>
  <si>
    <t>You are logged in, but your role cannot use this endpoint.</t>
  </si>
  <si>
    <t>ROLE_NOT_ALLOWED</t>
  </si>
  <si>
    <t>Not Found</t>
  </si>
  <si>
    <t>No record has this ID.</t>
  </si>
  <si>
    <t>PATIENT_NOT_FOUND, BILL_NOT_FOUND</t>
  </si>
  <si>
    <t>Conflict</t>
  </si>
  <si>
    <t>The request does not agree with the current state or with another record.</t>
  </si>
  <si>
    <t>ILLEGAL_STATE_MOVE, SLOT_ALREADY_BOOKED, DUPLICATE_USERNAME</t>
  </si>
  <si>
    <t>Unprocessable</t>
  </si>
  <si>
    <t>The request has the correct form, but a field rule or a business rule stops it.</t>
  </si>
  <si>
    <t>FIELD_REQUIRED, AMOUNT_EXCEEDS_BALANCE</t>
  </si>
  <si>
    <t>A1</t>
  </si>
  <si>
    <t>A</t>
  </si>
  <si>
    <t>/api/v1/patients</t>
  </si>
  <si>
    <t>Register a new patient. Warn when a possible duplicate exists.</t>
  </si>
  <si>
    <t>full_name*, gender*, date_of_birth*, phone*, id_document_type* (Aadhar | Ration Card), id_document_number*, blood_group, address, insurer_name, insurance_policy_number, confirm_not_duplicate (default false)</t>
  </si>
  <si>
    <t>patient_id, mrn, full_name, age, is_active</t>
  </si>
  <si>
    <t>422 FIELD_REQUIRED; 409 POSSIBLE_DUPLICATE_PATIENT; 409 AADHAR_ALREADY_REGISTERED</t>
  </si>
  <si>
    <t>FR-A-001, FR-A-002</t>
  </si>
  <si>
    <t>UC-01</t>
  </si>
  <si>
    <t>BR-A-01, BR-A-02</t>
  </si>
  <si>
    <t>TC-A-001, TC-A-002</t>
  </si>
  <si>
    <t>A2</t>
  </si>
  <si>
    <t>/api/v1/patients/{patient_id}/documents</t>
  </si>
  <si>
    <t>Upload the patient photo and the ID document scan.</t>
  </si>
  <si>
    <t>multipart/form-data: photo_file, id_document_file (jpg, png or pdf; 2 MB maximum)</t>
  </si>
  <si>
    <t>patient_id, photo_file, id_document_file</t>
  </si>
  <si>
    <t>404 PATIENT_NOT_FOUND; 422 FILE_TYPE_NOT_ALLOWED; 422 FILE_TOO_LARGE</t>
  </si>
  <si>
    <t>FR-A-001</t>
  </si>
  <si>
    <t>BR-A-01</t>
  </si>
  <si>
    <t>TC-A-001</t>
  </si>
  <si>
    <t>A3</t>
  </si>
  <si>
    <t>Receptionist, Doctor, Billing Clerk, Admin</t>
  </si>
  <si>
    <t>Find patients by MRN (old MRNs too), name, phone or ID number.</t>
  </si>
  <si>
    <t>Query: mrn, full_name, phone, id_document_number (one or more); page, size</t>
  </si>
  <si>
    <t>items [patient_id, mrn, full_name, gender, date_of_birth, phone, matched_on_old_mrn], total, page, size</t>
  </si>
  <si>
    <t>400 SEARCH_VALUE_REQUIRED</t>
  </si>
  <si>
    <t>FR-A-003</t>
  </si>
  <si>
    <t>UC-02</t>
  </si>
  <si>
    <t>BR-A-03</t>
  </si>
  <si>
    <t>TC-A-003</t>
  </si>
  <si>
    <t>A4</t>
  </si>
  <si>
    <t>/api/v1/patients/{patient_id}</t>
  </si>
  <si>
    <t>Show the details of one patient.</t>
  </si>
  <si>
    <t>None</t>
  </si>
  <si>
    <t>All PATIENT columns, age (calculated, not stored)</t>
  </si>
  <si>
    <t>404 PATIENT_NOT_FOUND</t>
  </si>
  <si>
    <t>A5</t>
  </si>
  <si>
    <t>/api/v1/patients/{patient_id}/summary</t>
  </si>
  <si>
    <t>Doctor, Receptionist, Admin</t>
  </si>
  <si>
    <t>Show the patient summary. The server removes the sections that the role cannot see.</t>
  </si>
  <si>
    <t>patient, contacts, visits, consultation_summaries, lab_results (Verified only), bills</t>
  </si>
  <si>
    <t>403 ROLE_NOT_ALLOWED; 404 PATIENT_NOT_FOUND</t>
  </si>
  <si>
    <t>FR-A-004, FR-A-007</t>
  </si>
  <si>
    <t>BR-A-04, BR-A-07</t>
  </si>
  <si>
    <t>SM-05</t>
  </si>
  <si>
    <t>TC-A-004, TC-A-007</t>
  </si>
  <si>
    <t>A6</t>
  </si>
  <si>
    <t>Change the patient details. MRN and patient_id cannot change.</t>
  </si>
  <si>
    <t>Any editable field from A1</t>
  </si>
  <si>
    <t>Updated patient</t>
  </si>
  <si>
    <t>422 FIELD_NOT_EDITABLE; 404 PATIENT_NOT_FOUND</t>
  </si>
  <si>
    <t>FR-A-005</t>
  </si>
  <si>
    <t>System rule</t>
  </si>
  <si>
    <t>BR-A-05</t>
  </si>
  <si>
    <t>TC-A-005</t>
  </si>
  <si>
    <t>A7</t>
  </si>
  <si>
    <t>/api/v1/patients/{patient_id}/history</t>
  </si>
  <si>
    <t>Show who changed the patient record, what changed, and when.</t>
  </si>
  <si>
    <t>Query: page, size</t>
  </si>
  <si>
    <t>items [changed_field, old_value, new_value, performed_by, performed_at], total</t>
  </si>
  <si>
    <t>A8</t>
  </si>
  <si>
    <t>/api/v1/patients/{patient_id}/contacts</t>
  </si>
  <si>
    <t>Add an emergency contact or next of kin.</t>
  </si>
  <si>
    <t>contact_name*, contact_number*, relationship</t>
  </si>
  <si>
    <t>patient_contact_id, contact_name, relationship, contact_number</t>
  </si>
  <si>
    <t>422 FIELD_REQUIRED; 404 PATIENT_NOT_FOUND</t>
  </si>
  <si>
    <t>FR-A-006</t>
  </si>
  <si>
    <t>BR-A-06</t>
  </si>
  <si>
    <t>TC-A-006</t>
  </si>
  <si>
    <t>A9</t>
  </si>
  <si>
    <t>/api/v1/patients/{patient_id}/contacts/{patient_contact_id}</t>
  </si>
  <si>
    <t>Change or deactivate a contact.</t>
  </si>
  <si>
    <t>contact_name, contact_number, relationship, is_active</t>
  </si>
  <si>
    <t>Updated contact</t>
  </si>
  <si>
    <t>404 CONTACT_NOT_FOUND</t>
  </si>
  <si>
    <t>A10</t>
  </si>
  <si>
    <t>/api/v1/patients/{patient_id}/merge</t>
  </si>
  <si>
    <t>Merge a confirmed duplicate into this patient. Keep the old MRN for search.</t>
  </si>
  <si>
    <t>duplicate_patient_id*, merge_reason*</t>
  </si>
  <si>
    <t>patient_id, mrn, old_mrn, moved_visits, moved_appointments, moved_bills</t>
  </si>
  <si>
    <t>409 SAME_PATIENT; 422 REASON_REQUIRED; 404 PATIENT_NOT_FOUND</t>
  </si>
  <si>
    <t>FR-A-008</t>
  </si>
  <si>
    <t>BR-A-08</t>
  </si>
  <si>
    <t>TC-A-008</t>
  </si>
  <si>
    <t>B1a</t>
  </si>
  <si>
    <t>/api/v1/appointments/departments</t>
  </si>
  <si>
    <t>Add a department.</t>
  </si>
  <si>
    <t>department_name*</t>
  </si>
  <si>
    <t>department_id, department_name, is_active</t>
  </si>
  <si>
    <t>422 FIELD_REQUIRED; 409 DUPLICATE_NAME</t>
  </si>
  <si>
    <t>FR-B-001</t>
  </si>
  <si>
    <t>UC-13</t>
  </si>
  <si>
    <t>BR-B-01</t>
  </si>
  <si>
    <t>SM-03 move 1</t>
  </si>
  <si>
    <t>TC-B-001</t>
  </si>
  <si>
    <t>B1b</t>
  </si>
  <si>
    <t>/api/v1/appointments/departments/{department_id}</t>
  </si>
  <si>
    <t>Rename, deactivate or reactivate a department.</t>
  </si>
  <si>
    <t>department_name, is_active</t>
  </si>
  <si>
    <t>Updated department</t>
  </si>
  <si>
    <t>409 DUPLICATE_NAME; 404 DEPARTMENT_NOT_FOUND</t>
  </si>
  <si>
    <t>SM-03 moves 2, 3</t>
  </si>
  <si>
    <t>B1c</t>
  </si>
  <si>
    <t>Receptionist, Doctor, Admin</t>
  </si>
  <si>
    <t>List departments.</t>
  </si>
  <si>
    <t>Query: is_active</t>
  </si>
  <si>
    <t>items [department_id, department_name, is_active]</t>
  </si>
  <si>
    <t>B2a</t>
  </si>
  <si>
    <t>/api/v1/appointments/doctors</t>
  </si>
  <si>
    <t>Add a doctor and link the doctor's login.</t>
  </si>
  <si>
    <t>doctor_name*, department_id*, app_user_id</t>
  </si>
  <si>
    <t>doctor_id, doctor_name, department_id, app_user_id, is_active</t>
  </si>
  <si>
    <t>422 DEPARTMENT_INACTIVE; 409 USER_ALREADY_LINKED</t>
  </si>
  <si>
    <t>B2b</t>
  </si>
  <si>
    <t>/api/v1/appointments/doctors/{doctor_id}</t>
  </si>
  <si>
    <t>Change, deactivate or reactivate a doctor.</t>
  </si>
  <si>
    <t>doctor_name, department_id, app_user_id, is_active</t>
  </si>
  <si>
    <t>Updated doctor</t>
  </si>
  <si>
    <t>404 DOCTOR_NOT_FOUND; 422 DEPARTMENT_INACTIVE</t>
  </si>
  <si>
    <t>B2c</t>
  </si>
  <si>
    <t>List doctors.</t>
  </si>
  <si>
    <t>Query: department_id, is_active</t>
  </si>
  <si>
    <t>items [doctor_id, doctor_name, department_id, is_active]</t>
  </si>
  <si>
    <t>B3a</t>
  </si>
  <si>
    <t>/api/v1/appointments/doctors/{doctor_id}/slots</t>
  </si>
  <si>
    <t>Add a time slot for a doctor.</t>
  </si>
  <si>
    <t>start_time*, end_time*</t>
  </si>
  <si>
    <t>doctor_slot_id, doctor_id, start_time, end_time, is_active</t>
  </si>
  <si>
    <t>422 SLOT_TIMES_INVALID; 409 SLOT_OVERLAP; 404 DOCTOR_NOT_FOUND</t>
  </si>
  <si>
    <t>B3b</t>
  </si>
  <si>
    <t>/api/v1/appointments/doctors/{doctor_id}/slots/{doctor_slot_id}</t>
  </si>
  <si>
    <t>Change, deactivate or reactivate a time slot.</t>
  </si>
  <si>
    <t>start_time, end_time, is_active</t>
  </si>
  <si>
    <t>Updated slot</t>
  </si>
  <si>
    <t>422 SLOT_TIMES_INVALID; 409 SLOT_OVERLAP; 404 SLOT_NOT_FOUND</t>
  </si>
  <si>
    <t>Show the free times for a doctor on a date.</t>
  </si>
  <si>
    <t>Query: doctor_id*, appointment_date*</t>
  </si>
  <si>
    <t>items [doctor_slot_id, appointment_time, is_free]</t>
  </si>
  <si>
    <t>404 DOCTOR_NOT_FOUND; 422 DOCTOR_INACTIVE</t>
  </si>
  <si>
    <t>Book an appointment. Status starts as Booked.</t>
  </si>
  <si>
    <t>patient_id*, doctor_id*, doctor_slot_id*, appointment_date*, appointment_time*</t>
  </si>
  <si>
    <t>appointment_id, appointment_no, appointment_status = Booked</t>
  </si>
  <si>
    <t>409 SLOT_ALREADY_BOOKED; 422 OUTSIDE_DOCTOR_SLOT; 422 DOCTOR_INACTIVE; 422 DATE_IN_PAST; 404 PATIENT_NOT_FOUND</t>
  </si>
  <si>
    <t>B6</t>
  </si>
  <si>
    <t>/api/v1/appointments/{appointment_id}</t>
  </si>
  <si>
    <t>Receptionist, Doctor</t>
  </si>
  <si>
    <t>Show one appointment and its status.</t>
  </si>
  <si>
    <t>All APPOINTMENT columns, patient (mrn, full_name), doctor_name</t>
  </si>
  <si>
    <t>404 APPOINTMENT_NOT_FOUND</t>
  </si>
  <si>
    <t>FR-B-003</t>
  </si>
  <si>
    <t>BR-B-03</t>
  </si>
  <si>
    <t>TC-B-003</t>
  </si>
  <si>
    <t>B7</t>
  </si>
  <si>
    <t>/api/v1/appointments/{appointment_id}/history</t>
  </si>
  <si>
    <t>Receptionist, Admin</t>
  </si>
  <si>
    <t>Show each status of the appointment with time and user.</t>
  </si>
  <si>
    <t>items [status, changed_at, changed_by]</t>
  </si>
  <si>
    <t>B8</t>
  </si>
  <si>
    <t>/api/v1/appointments/{appointment_id}/reschedule</t>
  </si>
  <si>
    <t>Move a Booked appointment to a new date or time. A reason is necessary.</t>
  </si>
  <si>
    <t>appointment_date*, appointment_time*, doctor_slot_id*, cancel_reason_id*</t>
  </si>
  <si>
    <t>Updated appointment (status stays Booked)</t>
  </si>
  <si>
    <t>409 ILLEGAL_STATE_MOVE; 409 SLOT_ALREADY_BOOKED; 422 REASON_REQUIRED; 422 OUTSIDE_DOCTOR_SLOT</t>
  </si>
  <si>
    <t>FR-B-004</t>
  </si>
  <si>
    <t>BR-B-04</t>
  </si>
  <si>
    <t>TC-B-004</t>
  </si>
  <si>
    <t>B9</t>
  </si>
  <si>
    <t>/api/v1/appointments/{appointment_id}/cancel</t>
  </si>
  <si>
    <t>Cancel a Booked appointment. A reason is necessary.</t>
  </si>
  <si>
    <t>cancel_reason_id*</t>
  </si>
  <si>
    <t>appointment_id, appointment_status = Cancelled</t>
  </si>
  <si>
    <t>422 REASON_REQUIRED; 409 ILLEGAL_STATE_MOVE</t>
  </si>
  <si>
    <t>SM-01 move 5</t>
  </si>
  <si>
    <t>B10</t>
  </si>
  <si>
    <t>/api/v1/appointments/{appointment_id}/check-in</t>
  </si>
  <si>
    <t>Check in the patient. The server makes the visit record.</t>
  </si>
  <si>
    <t>appointment_status = Checked-in, visit [visit_id, visit_no, visit_type = Scheduled]</t>
  </si>
  <si>
    <t>422 NOT_APPOINTMENT_DAY; 409 ILLEGAL_STATE_MOVE</t>
  </si>
  <si>
    <t>FR-B-005</t>
  </si>
  <si>
    <t>UC-04</t>
  </si>
  <si>
    <t>BR-B-05</t>
  </si>
  <si>
    <t>SM-01 move 2</t>
  </si>
  <si>
    <t>TC-B-005</t>
  </si>
  <si>
    <t>B11</t>
  </si>
  <si>
    <t>/api/v1/appointments/{appointment_id}/no-show</t>
  </si>
  <si>
    <t>Mark a past Booked appointment as No-show.</t>
  </si>
  <si>
    <t>appointment_id, appointment_status = No-show</t>
  </si>
  <si>
    <t>422 APPOINTMENT_DATE_NOT_PASSED; 409 ILLEGAL_STATE_MOVE</t>
  </si>
  <si>
    <t>SM-01 move 6</t>
  </si>
  <si>
    <t>B12</t>
  </si>
  <si>
    <t>/api/v1/appointments/daily</t>
  </si>
  <si>
    <t>Show the daily appointment list for a doctor or a department.</t>
  </si>
  <si>
    <t>Query: appointment_date*, doctor_id, department_id, appointment_status, page, size</t>
  </si>
  <si>
    <t>items [appointment_id, appointment_time, mrn, full_name, doctor_name, appointment_status], total</t>
  </si>
  <si>
    <t>400 INVALID_DATE</t>
  </si>
  <si>
    <t>FR-B-006</t>
  </si>
  <si>
    <t>BR-B-06</t>
  </si>
  <si>
    <t>TC-B-006</t>
  </si>
  <si>
    <t>B13</t>
  </si>
  <si>
    <t>/api/v1/visits</t>
  </si>
  <si>
    <t>Make a walk-in or emergency visit without an appointment.</t>
  </si>
  <si>
    <t>patient_id*, doctor_id*, visit_type* (Walk-in | Emergency)</t>
  </si>
  <si>
    <t>visit_id, visit_no, visit_type, appointment_id = null</t>
  </si>
  <si>
    <t>422 VISIT_TYPE_INVALID; 404 PATIENT_NOT_FOUND</t>
  </si>
  <si>
    <t>FR-B-007</t>
  </si>
  <si>
    <t>BR-B-07</t>
  </si>
  <si>
    <t>TC-B-007</t>
  </si>
  <si>
    <t>B14</t>
  </si>
  <si>
    <t>/api/v1/visits/{visit_id}</t>
  </si>
  <si>
    <t>Receptionist, Doctor, Lab Technician, Billing Clerk</t>
  </si>
  <si>
    <t>Show one visit.</t>
  </si>
  <si>
    <t>All VISIT columns, patient (mrn, full_name), doctor_name</t>
  </si>
  <si>
    <t>404 VISIT_NOT_FOUND</t>
  </si>
  <si>
    <t>B15</t>
  </si>
  <si>
    <t>/api/v1/appointments/cancel-reasons</t>
  </si>
  <si>
    <t>List the fixed cancel reasons (Active only).</t>
  </si>
  <si>
    <t>items [cancel_reason_id, reason_text]</t>
  </si>
  <si>
    <t>C1</t>
  </si>
  <si>
    <t>C</t>
  </si>
  <si>
    <t>/api/v1/consultations/my-list</t>
  </si>
  <si>
    <t>Show today's patients for the doctor who is logged in.</t>
  </si>
  <si>
    <t>Query: appointment_date (default today)</t>
  </si>
  <si>
    <t>items [appointment_id, visit_id, appointment_time, mrn, full_name, appointment_status]</t>
  </si>
  <si>
    <t>403 NOT_LINKED_TO_DOCTOR</t>
  </si>
  <si>
    <t>FR-C-001</t>
  </si>
  <si>
    <t>UC-05</t>
  </si>
  <si>
    <t>BR-C-01</t>
  </si>
  <si>
    <t>TC-C-001</t>
  </si>
  <si>
    <t>C2</t>
  </si>
  <si>
    <t>/api/v1/consultations</t>
  </si>
  <si>
    <t>Open a consultation. The appointment moves to With Doctor.</t>
  </si>
  <si>
    <t>visit_id*</t>
  </si>
  <si>
    <t>consultation_id, consultation_status = In Progress, appointment_status = With Doctor</t>
  </si>
  <si>
    <t>409 ILLEGAL_STATE_MOVE; 409 CONSULTATION_ALREADY_OPEN; 404 VISIT_NOT_FOUND</t>
  </si>
  <si>
    <t>SM-01 move 3</t>
  </si>
  <si>
    <t>C3</t>
  </si>
  <si>
    <t>/api/v1/consultations/{consultation_id}</t>
  </si>
  <si>
    <t>Save the chief complaint and the symptoms.</t>
  </si>
  <si>
    <t>chief_complaint, symptoms</t>
  </si>
  <si>
    <t>Updated consultation</t>
  </si>
  <si>
    <t>409 CONSULTATION_COMPLETED; 404 CONSULTATION_NOT_FOUND</t>
  </si>
  <si>
    <t>C4a</t>
  </si>
  <si>
    <t>/api/v1/consultations/lookups/diagnosis-codes</t>
  </si>
  <si>
    <t>Search the standard diagnosis code list (Active only).</t>
  </si>
  <si>
    <t>Query: q, page, size</t>
  </si>
  <si>
    <t>items [diagnosis_code_id, diagnosis_code, diagnosis_name]</t>
  </si>
  <si>
    <t>FR-C-002</t>
  </si>
  <si>
    <t>BR-C-02</t>
  </si>
  <si>
    <t>TC-C-002</t>
  </si>
  <si>
    <t>C4b</t>
  </si>
  <si>
    <t>/api/v1/consultations/lookups/medicines</t>
  </si>
  <si>
    <t>Search the medicine list (Active only).</t>
  </si>
  <si>
    <t>items [medicine_id, medicine_name]</t>
  </si>
  <si>
    <t>FR-C-003</t>
  </si>
  <si>
    <t>BR-C-03</t>
  </si>
  <si>
    <t>TC-C-003</t>
  </si>
  <si>
    <t>C4c</t>
  </si>
  <si>
    <t>/api/v1/consultations/lookups/procedures</t>
  </si>
  <si>
    <t>Search the procedure list (Active only).</t>
  </si>
  <si>
    <t>items [procedure_id, procedure_name, procedure_type]</t>
  </si>
  <si>
    <t>FR-C-004</t>
  </si>
  <si>
    <t>BR-C-04</t>
  </si>
  <si>
    <t>TC-C-004</t>
  </si>
  <si>
    <t>C5</t>
  </si>
  <si>
    <t>/api/v1/consultations/visits/{visit_id}/diagnoses</t>
  </si>
  <si>
    <t>Record one or more coded diagnoses. Mark one as primary.</t>
  </si>
  <si>
    <t>diagnoses* [diagnosis_code_id*, is_primary*]</t>
  </si>
  <si>
    <t>visit_id, diagnoses [diagnosis_id, diagnosis_code, diagnosis_name, is_primary]</t>
  </si>
  <si>
    <t>422 ONE_PRIMARY_REQUIRED; 422 DIAGNOSIS_CODE_INACTIVE; 404 VISIT_NOT_FOUND</t>
  </si>
  <si>
    <t>C6</t>
  </si>
  <si>
    <t>/api/v1/consultations/visits/{visit_id}/prescriptions</t>
  </si>
  <si>
    <t>Make a prescription with medicines from the list.</t>
  </si>
  <si>
    <t>items* [medicine_id*, dosage*, frequency*, duration*, instructions]</t>
  </si>
  <si>
    <t>prescription_id, items [prescription_item_id, medicine_name, dosage, frequency, duration, instructions]</t>
  </si>
  <si>
    <t>422 FIELD_REQUIRED; 422 MEDICINE_INACTIVE; 404 VISIT_NOT_FOUND</t>
  </si>
  <si>
    <t>C7</t>
  </si>
  <si>
    <t>/api/v1/consultations/prescriptions/{prescription_id}/print</t>
  </si>
  <si>
    <t>Doctor, Receptionist</t>
  </si>
  <si>
    <t>Get the prescription in a form to print.</t>
  </si>
  <si>
    <t>patient, doctor, visit_datetime, items</t>
  </si>
  <si>
    <t>404 PRESCRIPTION_NOT_FOUND</t>
  </si>
  <si>
    <t>C8</t>
  </si>
  <si>
    <t>/api/v1/consultations/visits/{visit_id}/procedures</t>
  </si>
  <si>
    <t>Recommend a medical or surgical procedure.</t>
  </si>
  <si>
    <t>procedure_id*, urgency_type* (Elective | Emergency), recommendation_status*, remarks</t>
  </si>
  <si>
    <t>procedure_recommendation_id, procedure_name, urgency_type, recommendation_status</t>
  </si>
  <si>
    <t>422 FIELD_REQUIRED; 422 PROCEDURE_INACTIVE; 404 VISIT_NOT_FOUND</t>
  </si>
  <si>
    <t>C9</t>
  </si>
  <si>
    <t>/api/v1/consultations/patients/{patient_id}/conditions</t>
  </si>
  <si>
    <t>Record a long-term condition or an allergy.</t>
  </si>
  <si>
    <t>condition_type* (Chronic Condition | Allergy), condition_name*, recorded_in_visit_id*</t>
  </si>
  <si>
    <t>patient_condition_id, condition_type, condition_name</t>
  </si>
  <si>
    <t>FR-C-006</t>
  </si>
  <si>
    <t>BR-C-06</t>
  </si>
  <si>
    <t>TC-C-006</t>
  </si>
  <si>
    <t>C10</t>
  </si>
  <si>
    <t>/api/v1/consultations/patients/{patient_id}/history</t>
  </si>
  <si>
    <t>Show the medical history, newest first.</t>
  </si>
  <si>
    <t>visits [visit_datetime, diagnoses, prescriptions, procedures, lab_reports (Verified only)], conditions</t>
  </si>
  <si>
    <t>FR-C-005</t>
  </si>
  <si>
    <t>UC-06</t>
  </si>
  <si>
    <t>BR-C-05</t>
  </si>
  <si>
    <t>TC-C-005</t>
  </si>
  <si>
    <t>C11</t>
  </si>
  <si>
    <t>/api/v1/consultations/visits/{visit_id}/lab-orders</t>
  </si>
  <si>
    <t>Order one or more lab tests for the visit.</t>
  </si>
  <si>
    <t>lab_test_catalogue_ids* (one or more), priority* (Routine | Emergency), remarks</t>
  </si>
  <si>
    <t>lab_order_id, items [lab_order_item_id, lab_order_no, test_name, item_status = Ordered]</t>
  </si>
  <si>
    <t>422 LAB_TEST_INACTIVE; 409 CONSULTATION_COMPLETED; 404 VISIT_NOT_FOUND</t>
  </si>
  <si>
    <t>FR-C-007</t>
  </si>
  <si>
    <t>UC-07</t>
  </si>
  <si>
    <t>BR-C-07</t>
  </si>
  <si>
    <t>SM-04 move 1</t>
  </si>
  <si>
    <t>TC-C-007</t>
  </si>
  <si>
    <t>C12</t>
  </si>
  <si>
    <t>/api/v1/consultations/visits/{visit_id}/lab-reports</t>
  </si>
  <si>
    <t>Show the lab reports of the visit. Show Verified reports only.</t>
  </si>
  <si>
    <t>items [test_name, result_value, result_flag, normal_range, verified_at]</t>
  </si>
  <si>
    <t>FR-C-008</t>
  </si>
  <si>
    <t>BR-C-08</t>
  </si>
  <si>
    <t>TC-C-008</t>
  </si>
  <si>
    <t>C13</t>
  </si>
  <si>
    <t>/api/v1/consultations/{consultation_id}/complete</t>
  </si>
  <si>
    <t>Finish the consultation. The appointment moves to Completed.</t>
  </si>
  <si>
    <t>consultation_status = Completed, appointment_status = Completed</t>
  </si>
  <si>
    <t>422 ONE_PRIMARY_REQUIRED; 409 ILLEGAL_STATE_MOVE</t>
  </si>
  <si>
    <t>SM-01 move 4</t>
  </si>
  <si>
    <t>D1</t>
  </si>
  <si>
    <t>D</t>
  </si>
  <si>
    <t>/api/v1/lab/worklist</t>
  </si>
  <si>
    <t>Show the pending test items. Show Emergency items first.</t>
  </si>
  <si>
    <t>Query: item_status, priority, page, size</t>
  </si>
  <si>
    <t>items [lab_order_item_id, lab_order_no, test_name, priority, item_status, mrn, full_name, ordered_at], total</t>
  </si>
  <si>
    <t>FR-D-001</t>
  </si>
  <si>
    <t>UC-08</t>
  </si>
  <si>
    <t>BR-D-02</t>
  </si>
  <si>
    <t>TC-D-001</t>
  </si>
  <si>
    <t>D2</t>
  </si>
  <si>
    <t>/api/v1/lab/order-items/{lab_order_item_id}</t>
  </si>
  <si>
    <t>Show one test item with patient and test details.</t>
  </si>
  <si>
    <t>lab_order_item_id, lab_order_no, test_name, normal_range, item_status, patient (mrn, full_name)</t>
  </si>
  <si>
    <t>404 LAB_ITEM_NOT_FOUND</t>
  </si>
  <si>
    <t>D3</t>
  </si>
  <si>
    <t>/api/v1/lab/order-items/{lab_order_item_id}/status</t>
  </si>
  <si>
    <t>Move the test item forward by one stage.</t>
  </si>
  <si>
    <t>new_status* (Sample Collected | Testing In Progress | Verification)</t>
  </si>
  <si>
    <t>lab_order_item_id, item_status, changed_at</t>
  </si>
  <si>
    <t>409 ILLEGAL_STATE_MOVE; 422 USE_RESULT_ENDPOINT; 404 LAB_ITEM_NOT_FOUND</t>
  </si>
  <si>
    <t>FR-D-002</t>
  </si>
  <si>
    <t>BR-D-03</t>
  </si>
  <si>
    <t>SM-04 moves 2, 3, 5</t>
  </si>
  <si>
    <t>TC-D-002</t>
  </si>
  <si>
    <t>D4</t>
  </si>
  <si>
    <t>/api/v1/lab/order-items/{lab_order_item_id}/result</t>
  </si>
  <si>
    <t>Record the result. The server sets the High, Low or Normal flag.</t>
  </si>
  <si>
    <t>result_value*</t>
  </si>
  <si>
    <t>lab_result_id, result_value, normal_range, result_flag, report_status = Draft, item_status = Results Obtained</t>
  </si>
  <si>
    <t>409 ILLEGAL_STATE_MOVE; 422 RESULT_VALUE_INVALID; 404 LAB_ITEM_NOT_FOUND</t>
  </si>
  <si>
    <t>FR-D-003, FR-D-004</t>
  </si>
  <si>
    <t>BR-D-03, BR-D-04</t>
  </si>
  <si>
    <t>SM-04 move 4; SM-05 move 1</t>
  </si>
  <si>
    <t>TC-D-003, TC-D-004</t>
  </si>
  <si>
    <t>D5</t>
  </si>
  <si>
    <t>/api/v1/lab/order-items/{lab_order_item_id}/verify</t>
  </si>
  <si>
    <t>Lab Technician (senior or authorised)</t>
  </si>
  <si>
    <t>Verify the result. The server sends the charge to Billing.</t>
  </si>
  <si>
    <t>report_status = Verified, item_status = Done, verified_by, verified_at, bill_line_item_id</t>
  </si>
  <si>
    <t>403 NOT_AUTHORISED_TO_VERIFY; 409 ILLEGAL_STATE_MOVE; 404 LAB_ITEM_NOT_FOUND</t>
  </si>
  <si>
    <t>FR-D-005, FR-D-006</t>
  </si>
  <si>
    <t>UC-08, UC-09</t>
  </si>
  <si>
    <t>BR-D-05, BR-D-06</t>
  </si>
  <si>
    <t>SM-04 move 6; SM-05 move 2</t>
  </si>
  <si>
    <t>TC-D-005, TC-D-006</t>
  </si>
  <si>
    <t>D6</t>
  </si>
  <si>
    <t>/api/v1/lab/orders/{lab_order_id}/report</t>
  </si>
  <si>
    <t>Lab Technician, Doctor, Receptionist</t>
  </si>
  <si>
    <t>Get the lab report in a form to print. Show Verified results only.</t>
  </si>
  <si>
    <t>patient, doctor, tests [test_name, result_value, result_flag, normal_range, verified_by, verified_at]</t>
  </si>
  <si>
    <t>409 REPORT_NOT_READY; 404 LAB_ORDER_NOT_FOUND</t>
  </si>
  <si>
    <t>FR-D-005</t>
  </si>
  <si>
    <t>BR-D-05</t>
  </si>
  <si>
    <t>TC-D-005</t>
  </si>
  <si>
    <t>D7</t>
  </si>
  <si>
    <t>/api/v1/lab/order-items/{lab_order_item_id}/history</t>
  </si>
  <si>
    <t>Lab Technician, Admin</t>
  </si>
  <si>
    <t>Show each stage of the test item with time and user.</t>
  </si>
  <si>
    <t>items [previous_status, new_status, changed_at, changed_by]</t>
  </si>
  <si>
    <t>D8a</t>
  </si>
  <si>
    <t>/api/v1/lab/catalogue</t>
  </si>
  <si>
    <t>Add a test to the catalogue.</t>
  </si>
  <si>
    <t>test_name*, normal_range*, price_list_id*</t>
  </si>
  <si>
    <t>lab_test_catalogue_id, test_name, normal_range, price_list_id, is_active</t>
  </si>
  <si>
    <t>409 DUPLICATE_TEST_NAME; 422 PRICE_LIST_ENTRY_REQUIRED</t>
  </si>
  <si>
    <t>FR-D-007</t>
  </si>
  <si>
    <t>BR-D-01</t>
  </si>
  <si>
    <t>TC-D-007</t>
  </si>
  <si>
    <t>D8b</t>
  </si>
  <si>
    <t>/api/v1/lab/catalogue/{lab_test_catalogue_id}</t>
  </si>
  <si>
    <t>Change, deactivate or reactivate a test.</t>
  </si>
  <si>
    <t>test_name, normal_range, price_list_id, is_active</t>
  </si>
  <si>
    <t>Updated test</t>
  </si>
  <si>
    <t>409 DUPLICATE_TEST_NAME; 404 LAB_TEST_NOT_FOUND</t>
  </si>
  <si>
    <t>D9</t>
  </si>
  <si>
    <t>Lab Technician, Doctor, Admin</t>
  </si>
  <si>
    <t>List the tests with normal ranges.</t>
  </si>
  <si>
    <t>Query: q, is_active</t>
  </si>
  <si>
    <t>items [lab_test_catalogue_id, test_name, normal_range, is_active]</t>
  </si>
  <si>
    <t>E1a</t>
  </si>
  <si>
    <t>/api/v1/billing/price-list</t>
  </si>
  <si>
    <t>Add a price.</t>
  </si>
  <si>
    <t>service_name*, service_type* (Consultation | Lab Test), department_id, price*</t>
  </si>
  <si>
    <t>price_list_id, service_name, service_type, price, is_active</t>
  </si>
  <si>
    <t>422 PRICE_NOT_POSITIVE; 409 DUPLICATE_SERVICE</t>
  </si>
  <si>
    <t>FR-E-001</t>
  </si>
  <si>
    <t>BR-E-01</t>
  </si>
  <si>
    <t>TC-E-001</t>
  </si>
  <si>
    <t>E1b</t>
  </si>
  <si>
    <t>/api/v1/billing/price-list/{price_list_id}</t>
  </si>
  <si>
    <t>Change, deactivate or reactivate a price.</t>
  </si>
  <si>
    <t>service_name, price, is_active</t>
  </si>
  <si>
    <t>Updated price</t>
  </si>
  <si>
    <t>422 PRICE_NOT_POSITIVE; 404 PRICE_NOT_FOUND</t>
  </si>
  <si>
    <t>E2</t>
  </si>
  <si>
    <t>Admin, Billing Clerk</t>
  </si>
  <si>
    <t>List the prices.</t>
  </si>
  <si>
    <t>Query: service_type, is_active</t>
  </si>
  <si>
    <t>items [price_list_id, service_name, service_type, price, is_active]</t>
  </si>
  <si>
    <t>E3</t>
  </si>
  <si>
    <t>/api/v1/billing/bills</t>
  </si>
  <si>
    <t>Make a Draft bill. The server adds the consultation and lab charges.</t>
  </si>
  <si>
    <t>bill_id, bill_no (B-YYYYMMDD-NNNN), bill_status = Draft, line_items, total</t>
  </si>
  <si>
    <t>409 OPEN_BILL_EXISTS; 422 NO_CHARGEABLE_ITEMS; 404 VISIT_NOT_FOUND</t>
  </si>
  <si>
    <t>UC-09</t>
  </si>
  <si>
    <t>BR-E-02, BR-E-08</t>
  </si>
  <si>
    <t>SM-06 move 1</t>
  </si>
  <si>
    <t>Show one bill with its lines, payments and balance.</t>
  </si>
  <si>
    <t>bill_id, bill_no, bill_status, line_items, discount_amount, final_total, payments, amount_paid_total, outstanding_amount</t>
  </si>
  <si>
    <t>404 BILL_NOT_FOUND</t>
  </si>
  <si>
    <t>E5</t>
  </si>
  <si>
    <t>Find bills by visit, patient, status or date.</t>
  </si>
  <si>
    <t>Query: visit_id, patient_id, bill_status, bill_date, page, size</t>
  </si>
  <si>
    <t>items [bill_id, bill_no, mrn, bill_status, final_total, bill_date], total</t>
  </si>
  <si>
    <t>E6</t>
  </si>
  <si>
    <t>/api/v1/billing/bills/{bill_id}/discount</t>
  </si>
  <si>
    <t>Set the discount on a Draft bill.</t>
  </si>
  <si>
    <t>discount_amount*</t>
  </si>
  <si>
    <t>bill_id, discount_amount, total</t>
  </si>
  <si>
    <t>422 DISCOUNT_ABOVE_LIMIT; 409 BILL_NOT_DRAFT</t>
  </si>
  <si>
    <t>E7</t>
  </si>
  <si>
    <t>/api/v1/billing/bills/{bill_id}/finalise</t>
  </si>
  <si>
    <t>Make the bill Final. The server freezes the total.</t>
  </si>
  <si>
    <t>bill_id, bill_status = Final, final_total</t>
  </si>
  <si>
    <t>409 ILLEGAL_STATE_MOVE</t>
  </si>
  <si>
    <t>FR-E-003</t>
  </si>
  <si>
    <t>BR-E-03</t>
  </si>
  <si>
    <t>SM-06 move 2</t>
  </si>
  <si>
    <t>TC-E-003</t>
  </si>
  <si>
    <t>E8</t>
  </si>
  <si>
    <t>/api/v1/billing/bills/{bill_id}/cancel</t>
  </si>
  <si>
    <t>Cancel a Final bill. A reason is necessary.</t>
  </si>
  <si>
    <t>cancel_reason*</t>
  </si>
  <si>
    <t>bill_id, bill_status = Cancelled</t>
  </si>
  <si>
    <t>409 ILLEGAL_STATE_MOVE; 422 REASON_REQUIRED</t>
  </si>
  <si>
    <t>SM-06 move 6</t>
  </si>
  <si>
    <t>E10</t>
  </si>
  <si>
    <t>List the payments on a bill.</t>
  </si>
  <si>
    <t>items [payment_id, amount_paid, payment_mode, reference_number, payment_datetime, received_by]</t>
  </si>
  <si>
    <t>E11</t>
  </si>
  <si>
    <t>/api/v1/billing/bills/{bill_id}/insurance-claims</t>
  </si>
  <si>
    <t>Record the insurance details. The claim starts as Submitted.</t>
  </si>
  <si>
    <t>insurer_name*, policy_number*, claim_amount*</t>
  </si>
  <si>
    <t>insurance_claim_id, claim_status = Submitted</t>
  </si>
  <si>
    <t>422 FIELD_REQUIRED; 422 CLAIM_AMOUNT_NOT_POSITIVE; 404 BILL_NOT_FOUND</t>
  </si>
  <si>
    <t>FR-E-005</t>
  </si>
  <si>
    <t>UC-11</t>
  </si>
  <si>
    <t>BR-E-05</t>
  </si>
  <si>
    <t>SM-07 move 1</t>
  </si>
  <si>
    <t>TC-E-005</t>
  </si>
  <si>
    <t>E12</t>
  </si>
  <si>
    <t>/api/v1/billing/insurance-claims/{insurance_claim_id}/status</t>
  </si>
  <si>
    <t>Move the claim forward when the insurer replies.</t>
  </si>
  <si>
    <t>new_status*, approved_amount (necessary for Approved and Partially Approved)</t>
  </si>
  <si>
    <t>insurance_claim_id, claim_status, approved_amount</t>
  </si>
  <si>
    <t>409 ILLEGAL_STATE_MOVE; 422 APPROVED_AMOUNT_INVALID; 404 CLAIM_NOT_FOUND</t>
  </si>
  <si>
    <t>SM-07 moves 2 to 7</t>
  </si>
  <si>
    <t>Get the bill and receipt in a form to print.</t>
  </si>
  <si>
    <t>bill_no, patient, line_items, final_total, payments, outstanding_amount, bill_status</t>
  </si>
  <si>
    <t>409 BILL_NOT_FINAL; 404 BILL_NOT_FOUND</t>
  </si>
  <si>
    <t>E14</t>
  </si>
  <si>
    <t>/api/v1/billing/collections/daily</t>
  </si>
  <si>
    <t>Show the collections for one day.</t>
  </si>
  <si>
    <t>Query: collection_date*</t>
  </si>
  <si>
    <t>gross_amount, refund_total, cancellation_total, net_amount, by_payment_mode</t>
  </si>
  <si>
    <t>FR-E-007</t>
  </si>
  <si>
    <t>UC-12</t>
  </si>
  <si>
    <t>BR-E-07</t>
  </si>
  <si>
    <t>TC-E-007</t>
  </si>
  <si>
    <t>F1</t>
  </si>
  <si>
    <t>F</t>
  </si>
  <si>
    <t>/api/v1/auth/login</t>
  </si>
  <si>
    <t>Everyone (no token)</t>
  </si>
  <si>
    <t>Log in. Get a token and the role.</t>
  </si>
  <si>
    <t>username*, password*</t>
  </si>
  <si>
    <t>access_token, token_type = bearer, expires_in, user [app_user_id, full_name, role_name, must_change_password]</t>
  </si>
  <si>
    <t>401 INVALID_CREDENTIALS; 401 ACCOUNT_LOCKED; 401 ACCOUNT_INACTIVE</t>
  </si>
  <si>
    <t>FR-F-001</t>
  </si>
  <si>
    <t>UC-14</t>
  </si>
  <si>
    <t>BR-F-01</t>
  </si>
  <si>
    <t>SM-02 moves 2, 3</t>
  </si>
  <si>
    <t>TC-F-001</t>
  </si>
  <si>
    <t>F2</t>
  </si>
  <si>
    <t>/api/v1/auth/logout</t>
  </si>
  <si>
    <t>All logged-in users</t>
  </si>
  <si>
    <t>Log out.</t>
  </si>
  <si>
    <t>401 NOT_AUTHENTICATED</t>
  </si>
  <si>
    <t>F3</t>
  </si>
  <si>
    <t>/api/v1/auth/me</t>
  </si>
  <si>
    <t>Show the user, the role and the allowed screens.</t>
  </si>
  <si>
    <t>app_user_id, full_name, role_name, allowed_screens</t>
  </si>
  <si>
    <t>F4</t>
  </si>
  <si>
    <t>/api/v1/auth/change-password</t>
  </si>
  <si>
    <t>Change your own password.</t>
  </si>
  <si>
    <t>old_password*, new_password*</t>
  </si>
  <si>
    <t>401 INVALID_CREDENTIALS; 422 PASSWORD_RULES_NOT_MET</t>
  </si>
  <si>
    <t>FR-F-005, FR-F-006</t>
  </si>
  <si>
    <t>BR-F-05, BR-F-06</t>
  </si>
  <si>
    <t>TC-F-005, TC-F-006</t>
  </si>
  <si>
    <t>F5</t>
  </si>
  <si>
    <t>/api/v1/auth/forgot-password</t>
  </si>
  <si>
    <t>Send a single-use reset link or OTP.</t>
  </si>
  <si>
    <t>username or email or phone*</t>
  </si>
  <si>
    <t>message (the same message for every input)</t>
  </si>
  <si>
    <t>FR-F-006</t>
  </si>
  <si>
    <t>BR-F-06</t>
  </si>
  <si>
    <t>TC-F-006</t>
  </si>
  <si>
    <t>F6</t>
  </si>
  <si>
    <t>/api/v1/auth/reset-password</t>
  </si>
  <si>
    <t>Set a new password with the link or OTP.</t>
  </si>
  <si>
    <t>reset_token*, new_password*</t>
  </si>
  <si>
    <t>422 RESET_TOKEN_EXPIRED_OR_USED; 422 PASSWORD_RULES_NOT_MET</t>
  </si>
  <si>
    <t>F7a</t>
  </si>
  <si>
    <t>/api/v1/admin/users</t>
  </si>
  <si>
    <t>Make a user account with one role.</t>
  </si>
  <si>
    <t>username*, full_name*, password*, role_id*, department_id, email, phone</t>
  </si>
  <si>
    <t>app_user_id, username, full_name, role_name, is_active, must_change_password = true (never password_hash)</t>
  </si>
  <si>
    <t>409 DUPLICATE_USERNAME; 422 ONE_ROLE_REQUIRED</t>
  </si>
  <si>
    <t>FR-F-005</t>
  </si>
  <si>
    <t>BR-F-05</t>
  </si>
  <si>
    <t>SM-02 move 1</t>
  </si>
  <si>
    <t>TC-F-005</t>
  </si>
  <si>
    <t>F7b</t>
  </si>
  <si>
    <t>/api/v1/admin/users/{app_user_id}</t>
  </si>
  <si>
    <t>Change the role or department. Deactivate or reactivate the user.</t>
  </si>
  <si>
    <t>role_id, department_id, email, phone, is_active</t>
  </si>
  <si>
    <t>Updated user (never password_hash)</t>
  </si>
  <si>
    <t>404 USER_NOT_FOUND; 422 ONE_ROLE_REQUIRED</t>
  </si>
  <si>
    <t>SM-02 moves 4, 5</t>
  </si>
  <si>
    <t>F7c</t>
  </si>
  <si>
    <t>List the users.</t>
  </si>
  <si>
    <t>Query: role_id, is_active, page, size</t>
  </si>
  <si>
    <t>items [app_user_id, username, full_name, role_name, is_active], total</t>
  </si>
  <si>
    <t>F8</t>
  </si>
  <si>
    <t>/api/v1/admin/users/{app_user_id}/reset-password</t>
  </si>
  <si>
    <t>Reset a password for a user. The user must change it at next login.</t>
  </si>
  <si>
    <t>temporary_password, must_change_password = true</t>
  </si>
  <si>
    <t>404 USER_NOT_FOUND</t>
  </si>
  <si>
    <t>F9</t>
  </si>
  <si>
    <t>/api/v1/admin/roles</t>
  </si>
  <si>
    <t>List the seven roles.</t>
  </si>
  <si>
    <t>items [role_id, role_name]</t>
  </si>
  <si>
    <t>F10a</t>
  </si>
  <si>
    <t>/api/v1/masters/{master}</t>
  </si>
  <si>
    <t>Add a master record. {master} = medicines, diagnosis-codes, procedures, cancel-reasons or settings.</t>
  </si>
  <si>
    <t>The columns of that master table (example: medicine_name*)</t>
  </si>
  <si>
    <t>The new record with its ID and is_active</t>
  </si>
  <si>
    <t>FR-F-002</t>
  </si>
  <si>
    <t>BR-F-02</t>
  </si>
  <si>
    <t>TC-F-002</t>
  </si>
  <si>
    <t>F10b</t>
  </si>
  <si>
    <t>/api/v1/masters/{master}/{id}</t>
  </si>
  <si>
    <t>Change, deactivate or reactivate a master record. There is no DELETE.</t>
  </si>
  <si>
    <t>Any column of that table, or is_active</t>
  </si>
  <si>
    <t>Updated record</t>
  </si>
  <si>
    <t>409 DUPLICATE_NAME; 404 RECORD_NOT_FOUND</t>
  </si>
  <si>
    <t>F10c</t>
  </si>
  <si>
    <t>List the records of one master table.</t>
  </si>
  <si>
    <t>Query: q, is_active, page, size</t>
  </si>
  <si>
    <t>items, total</t>
  </si>
  <si>
    <t>F11</t>
  </si>
  <si>
    <t>/api/v1/reports/{report_code}</t>
  </si>
  <si>
    <t>Make an operational report. {report_code} = REGISTRATIONS, APPOINTMENTS, CONSULTATIONS_PER_DOCTOR, REVENUE_BY_DOCTOR, REVENUE_BY_DEPARTMENT, LAB_RESULTS or PENDING_PROCEDURES.</t>
  </si>
  <si>
    <t>Query: from_date*, to_date*, department_id, doctor_id, format (json | csv)</t>
  </si>
  <si>
    <t>items, total (empty items and a message when no data)</t>
  </si>
  <si>
    <t>400 INVALID_DATE_RANGE; 404 UNKNOWN_REPORT</t>
  </si>
  <si>
    <t>FR-F-003</t>
  </si>
  <si>
    <t>BR-F-03</t>
  </si>
  <si>
    <t>TC-F-003</t>
  </si>
  <si>
    <t>F12</t>
  </si>
  <si>
    <t>/api/v1/admin/backups/schedule</t>
  </si>
  <si>
    <t>Set the automatic backup schedule and location.</t>
  </si>
  <si>
    <t>backup_schedule*, backup_location*</t>
  </si>
  <si>
    <t>backup_schedule, backup_location</t>
  </si>
  <si>
    <t>422 SCHEDULE_INVALID</t>
  </si>
  <si>
    <t>FR-F-004</t>
  </si>
  <si>
    <t>UC-15</t>
  </si>
  <si>
    <t>BR-F-04a</t>
  </si>
  <si>
    <t>TC-F-004</t>
  </si>
  <si>
    <t>F13</t>
  </si>
  <si>
    <t>/api/v1/admin/backups</t>
  </si>
  <si>
    <t>System Administrator, Database Administrator</t>
  </si>
  <si>
    <t>Show the backup history.</t>
  </si>
  <si>
    <t>Query: from_date, to_date, status</t>
  </si>
  <si>
    <t>items [backup_log_id, backup_file, status, started_at, completed_at, alert_sent]</t>
  </si>
  <si>
    <t>F14</t>
  </si>
  <si>
    <t>/api/v1/admin/restores</t>
  </si>
  <si>
    <t>Restore the database from a backup. A reason and authorisation are necessary.</t>
  </si>
  <si>
    <t>backup_file_used*, reason_for_restore*, authorisation_confirmed* (true)</t>
  </si>
  <si>
    <t>restore_log_id, verification_status</t>
  </si>
  <si>
    <t>403 ROLE_NOT_ALLOWED; 422 AUTHORISATION_REQUIRED; 404 BACKUP_NOT_FOUND</t>
  </si>
  <si>
    <t>FR-F-007</t>
  </si>
  <si>
    <t>BR-F-04b</t>
  </si>
  <si>
    <t>TC-F-007</t>
  </si>
  <si>
    <t>F15</t>
  </si>
  <si>
    <t>/api/v1/admin/audit-log</t>
  </si>
  <si>
    <t>Search the audit trail.</t>
  </si>
  <si>
    <t>Query: entity_name, entity_id, performed_by, from_date, to_date, page, size</t>
  </si>
  <si>
    <t>items [entity_name, entity_id, action, changed_field, old_value, new_value, performed_by, performed_at], total</t>
  </si>
  <si>
    <t>Totals</t>
  </si>
  <si>
    <t>All endpoints</t>
  </si>
  <si>
    <t>Module A</t>
  </si>
  <si>
    <t>Module B</t>
  </si>
  <si>
    <t>Module F</t>
  </si>
  <si>
    <t>Used by (Endpoint ID)</t>
  </si>
  <si>
    <t>INVALID_DATE</t>
  </si>
  <si>
    <t>The date is missing or not in the format YYYY-MM-DD.</t>
  </si>
  <si>
    <t>B12, E5, E14</t>
  </si>
  <si>
    <t>INVALID_DATE_RANGE</t>
  </si>
  <si>
    <t>from_date is after to_date, or a date is missing.</t>
  </si>
  <si>
    <t>SEARCH_VALUE_REQUIRED</t>
  </si>
  <si>
    <t>The search has no value. Give one or more search values.</t>
  </si>
  <si>
    <t>ACCOUNT_INACTIVE</t>
  </si>
  <si>
    <t>The account is Inactive. Speak to the Admin.</t>
  </si>
  <si>
    <t>ACCOUNT_LOCKED</t>
  </si>
  <si>
    <t>The account is locked for 15 minutes after 5 incorrect passwords.</t>
  </si>
  <si>
    <t>INVALID_CREDENTIALS</t>
  </si>
  <si>
    <t>The username or the password is not correct.</t>
  </si>
  <si>
    <t>F1, F4</t>
  </si>
  <si>
    <t>NOT_AUTHENTICATED</t>
  </si>
  <si>
    <t>You are not logged in, or your token is not valid.</t>
  </si>
  <si>
    <t>F2, F3</t>
  </si>
  <si>
    <t>TOKEN_EXPIRED</t>
  </si>
  <si>
    <t>Your login token is expired. Log in again.</t>
  </si>
  <si>
    <t>NOT_AUTHORISED_TO_VERIFY</t>
  </si>
  <si>
    <t>Only a senior or authorised lab technician can verify a result.</t>
  </si>
  <si>
    <t>NOT_LINKED_TO_DOCTOR</t>
  </si>
  <si>
    <t>Your login is not linked to a doctor record.</t>
  </si>
  <si>
    <t>Your role cannot use this endpoint. The server writes this attempt to AUDIT_LOG.</t>
  </si>
  <si>
    <t>A5, F14</t>
  </si>
  <si>
    <t>APPOINTMENT_NOT_FOUND</t>
  </si>
  <si>
    <t>No appointment has this ID.</t>
  </si>
  <si>
    <t>B6, B7</t>
  </si>
  <si>
    <t>BACKUP_NOT_FOUND</t>
  </si>
  <si>
    <t>No backup has this file name.</t>
  </si>
  <si>
    <t>No bill has this ID.</t>
  </si>
  <si>
    <t>E4, E9, E10, E11, E13</t>
  </si>
  <si>
    <t>CLAIM_NOT_FOUND</t>
  </si>
  <si>
    <t>No insurance claim has this ID.</t>
  </si>
  <si>
    <t>CONSULTATION_NOT_FOUND</t>
  </si>
  <si>
    <t>No consultation has this ID.</t>
  </si>
  <si>
    <t>CONTACT_NOT_FOUND</t>
  </si>
  <si>
    <t>No contact has this ID for this patient.</t>
  </si>
  <si>
    <t>DEPARTMENT_NOT_FOUND</t>
  </si>
  <si>
    <t>No department has this ID.</t>
  </si>
  <si>
    <t>DOCTOR_NOT_FOUND</t>
  </si>
  <si>
    <t>No doctor has this ID.</t>
  </si>
  <si>
    <t>B2b, B3a, B4</t>
  </si>
  <si>
    <t>LAB_ITEM_NOT_FOUND</t>
  </si>
  <si>
    <t>No lab test item has this ID.</t>
  </si>
  <si>
    <t>D2, D3, D4, D5, D7</t>
  </si>
  <si>
    <t>LAB_ORDER_NOT_FOUND</t>
  </si>
  <si>
    <t>No lab order has this ID.</t>
  </si>
  <si>
    <t>LAB_TEST_NOT_FOUND</t>
  </si>
  <si>
    <t>No lab test has this ID.</t>
  </si>
  <si>
    <t>PATIENT_NOT_FOUND</t>
  </si>
  <si>
    <t>No patient has this ID.</t>
  </si>
  <si>
    <t>A2, A4, A5, A6, A7, A8, A10, B5, B13, C9, C10</t>
  </si>
  <si>
    <t>PRESCRIPTION_NOT_FOUND</t>
  </si>
  <si>
    <t>No prescription has this ID.</t>
  </si>
  <si>
    <t>PRICE_NOT_FOUND</t>
  </si>
  <si>
    <t>No price has this ID.</t>
  </si>
  <si>
    <t>RECORD_NOT_FOUND</t>
  </si>
  <si>
    <t>No record has this ID in this master table.</t>
  </si>
  <si>
    <t>SLOT_NOT_FOUND</t>
  </si>
  <si>
    <t>No slot has this ID for this doctor.</t>
  </si>
  <si>
    <t>UNKNOWN_REPORT</t>
  </si>
  <si>
    <t>No report has this report code.</t>
  </si>
  <si>
    <t>USER_NOT_FOUND</t>
  </si>
  <si>
    <t>No user has this ID.</t>
  </si>
  <si>
    <t>F7b, F8</t>
  </si>
  <si>
    <t>VISIT_NOT_FOUND</t>
  </si>
  <si>
    <t>No visit has this ID.</t>
  </si>
  <si>
    <t>B14, C2, C5, C6, C8, C11, C12, E3</t>
  </si>
  <si>
    <t>AADHAR_ALREADY_REGISTERED</t>
  </si>
  <si>
    <t>Another patient has this ID document number.</t>
  </si>
  <si>
    <t>BILL_NOT_DRAFT</t>
  </si>
  <si>
    <t>You can change the discount only on a Draft bill.</t>
  </si>
  <si>
    <t>The bill is not Final or Partly Paid. Finalise the bill first.</t>
  </si>
  <si>
    <t>E9, E13</t>
  </si>
  <si>
    <t>An Insurance payment needs a claim that is Approved, Partially Approved or Settled.</t>
  </si>
  <si>
    <t>CONSULTATION_ALREADY_OPEN</t>
  </si>
  <si>
    <t>This visit has a consultation that is In Progress.</t>
  </si>
  <si>
    <t>CONSULTATION_COMPLETED</t>
  </si>
  <si>
    <t>The consultation is Completed. You cannot change it.</t>
  </si>
  <si>
    <t>C3, C11</t>
  </si>
  <si>
    <t>DUPLICATE_NAME</t>
  </si>
  <si>
    <t>A record with this name exists.</t>
  </si>
  <si>
    <t>B1a, B1b, F10a, F10b</t>
  </si>
  <si>
    <t>DUPLICATE_SERVICE</t>
  </si>
  <si>
    <t>A price with this service name exists.</t>
  </si>
  <si>
    <t>DUPLICATE_TEST_NAME</t>
  </si>
  <si>
    <t>A test with this name exists.</t>
  </si>
  <si>
    <t>D8a, D8b</t>
  </si>
  <si>
    <t>DUPLICATE_USERNAME</t>
  </si>
  <si>
    <t>A user with this username exists.</t>
  </si>
  <si>
    <t>ILLEGAL_STATE_MOVE</t>
  </si>
  <si>
    <t>The state machine does not allow this status move.</t>
  </si>
  <si>
    <t>B8, B9, B10, B11, C2, C13, D3, D4, D5, E7, E8, E12</t>
  </si>
  <si>
    <t>OPEN_BILL_EXISTS</t>
  </si>
  <si>
    <t>This visit has a bill in Draft or Final status.</t>
  </si>
  <si>
    <t>POSSIBLE_DUPLICATE_PATIENT</t>
  </si>
  <si>
    <t>Name, date of birth and phone match a patient that exists. Send again with confirm_not_duplicate = true to save.</t>
  </si>
  <si>
    <t>REPORT_NOT_READY</t>
  </si>
  <si>
    <t>No result in this order is Verified.</t>
  </si>
  <si>
    <t>SAME_PATIENT</t>
  </si>
  <si>
    <t>The duplicate patient and the surviving patient are the same record.</t>
  </si>
  <si>
    <t>The doctor has an active appointment at this date and time (NFR-05).</t>
  </si>
  <si>
    <t>B5, B8</t>
  </si>
  <si>
    <t>SLOT_OVERLAP</t>
  </si>
  <si>
    <t>The new slot overlaps another slot of the same doctor.</t>
  </si>
  <si>
    <t>B3a, B3b</t>
  </si>
  <si>
    <t>USER_ALREADY_LINKED</t>
  </si>
  <si>
    <t>This login is linked to another doctor.</t>
  </si>
  <si>
    <t>The amount is more than the outstanding balance.</t>
  </si>
  <si>
    <t>APPOINTMENT_DATE_NOT_PASSED</t>
  </si>
  <si>
    <t>No-show is possible only after the appointment date.</t>
  </si>
  <si>
    <t>APPROVED_AMOUNT_INVALID</t>
  </si>
  <si>
    <t>approved_amount is missing, or it does not agree with the new status.</t>
  </si>
  <si>
    <t>AUTHORISATION_REQUIRED</t>
  </si>
  <si>
    <t>Set authorisation_confirmed to true before a restore.</t>
  </si>
  <si>
    <t>CLAIM_AMOUNT_NOT_POSITIVE</t>
  </si>
  <si>
    <t>The claim amount must be more than 0.</t>
  </si>
  <si>
    <t>DATE_IN_PAST</t>
  </si>
  <si>
    <t>The appointment date is before today.</t>
  </si>
  <si>
    <t>DEPARTMENT_INACTIVE</t>
  </si>
  <si>
    <t>The department is Inactive. You cannot use it in new work.</t>
  </si>
  <si>
    <t>B2a, B2b</t>
  </si>
  <si>
    <t>DIAGNOSIS_CODE_INACTIVE</t>
  </si>
  <si>
    <t>The diagnosis code is Inactive.</t>
  </si>
  <si>
    <t>DISCOUNT_ABOVE_LIMIT</t>
  </si>
  <si>
    <t>The discount is more than SYSTEM_SETTING.MAX_DISCOUNT_PERCENT.</t>
  </si>
  <si>
    <t>DOCTOR_INACTIVE</t>
  </si>
  <si>
    <t>The doctor is Inactive. You cannot book this doctor.</t>
  </si>
  <si>
    <t>B4, B5</t>
  </si>
  <si>
    <t>Insurance payments on this claim are more than approved_amount.</t>
  </si>
  <si>
    <t>FIELD_NOT_EDITABLE</t>
  </si>
  <si>
    <t>You tried to change a field that cannot change (mrn or patient_id).</t>
  </si>
  <si>
    <t>FIELD_REQUIRED</t>
  </si>
  <si>
    <t>A required field is empty.</t>
  </si>
  <si>
    <t>A1, A8, B1a, C6, C8, C9, E11, F10a</t>
  </si>
  <si>
    <t>FILE_TOO_LARGE</t>
  </si>
  <si>
    <t>The file is larger than 2 MB.</t>
  </si>
  <si>
    <t>FILE_TYPE_NOT_ALLOWED</t>
  </si>
  <si>
    <t>The file is not jpg, png or pdf.</t>
  </si>
  <si>
    <t>LAB_TEST_INACTIVE</t>
  </si>
  <si>
    <t>The lab test is Inactive.</t>
  </si>
  <si>
    <t>MEDICINE_INACTIVE</t>
  </si>
  <si>
    <t>The medicine is Inactive. Select a medicine from the list.</t>
  </si>
  <si>
    <t>NOT_APPOINTMENT_DAY</t>
  </si>
  <si>
    <t>Check-in is possible only on the appointment date.</t>
  </si>
  <si>
    <t>NO_CHARGEABLE_ITEMS</t>
  </si>
  <si>
    <t>The visit has no completed consultation or lab test to bill.</t>
  </si>
  <si>
    <t>ONE_PRIMARY_REQUIRED</t>
  </si>
  <si>
    <t>Mark exactly one diagnosis as primary.</t>
  </si>
  <si>
    <t>C5, C13</t>
  </si>
  <si>
    <t>ONE_ROLE_REQUIRED</t>
  </si>
  <si>
    <t>Give the user exactly one role.</t>
  </si>
  <si>
    <t>F7a, F7b</t>
  </si>
  <si>
    <t>OUTSIDE_DOCTOR_SLOT</t>
  </si>
  <si>
    <t>The time is not inside a slot of the doctor.</t>
  </si>
  <si>
    <t>PASSWORD_RULES_NOT_MET</t>
  </si>
  <si>
    <t>The new password does not obey the password rules.</t>
  </si>
  <si>
    <t>F4, F6</t>
  </si>
  <si>
    <t>PRICE_LIST_ENTRY_REQUIRED</t>
  </si>
  <si>
    <t>The test needs a price list entry first.</t>
  </si>
  <si>
    <t>PRICE_NOT_POSITIVE</t>
  </si>
  <si>
    <t>The price must be more than 0.</t>
  </si>
  <si>
    <t>E1a, E1b</t>
  </si>
  <si>
    <t>PROCEDURE_INACTIVE</t>
  </si>
  <si>
    <t>The procedure is Inactive.</t>
  </si>
  <si>
    <t>REASON_REQUIRED</t>
  </si>
  <si>
    <t>A reason is necessary for this action.</t>
  </si>
  <si>
    <t>A10, B8, B9, E8</t>
  </si>
  <si>
    <t>A reference number is necessary for Card, UPI and Insurance.</t>
  </si>
  <si>
    <t>RESET_TOKEN_EXPIRED_OR_USED</t>
  </si>
  <si>
    <t>The reset link or OTP is expired or used.</t>
  </si>
  <si>
    <t>RESULT_VALUE_INVALID</t>
  </si>
  <si>
    <t>The result value is not valid for this test.</t>
  </si>
  <si>
    <t>SCHEDULE_INVALID</t>
  </si>
  <si>
    <t>The backup schedule is not valid.</t>
  </si>
  <si>
    <t>SLOT_TIMES_INVALID</t>
  </si>
  <si>
    <t>The end time is not after the start time.</t>
  </si>
  <si>
    <t>USE_RESULT_ENDPOINT</t>
  </si>
  <si>
    <t>Use the result endpoint (D4) or the verify endpoint (D5) for this status.</t>
  </si>
  <si>
    <t>VISIT_TYPE_INVALID</t>
  </si>
  <si>
    <t>The visit type is not Walk-in or Emergency.</t>
  </si>
  <si>
    <t>FR name</t>
  </si>
  <si>
    <t>Endpoints</t>
  </si>
  <si>
    <t>Register New Patient</t>
  </si>
  <si>
    <t>FR-A-002</t>
  </si>
  <si>
    <t>Check for Possible Duplicate Patient</t>
  </si>
  <si>
    <t>Search Patient</t>
  </si>
  <si>
    <t>FR-A-004</t>
  </si>
  <si>
    <t>View Patient Summary</t>
  </si>
  <si>
    <t>Track Patient Record Changes</t>
  </si>
  <si>
    <t>Capture Emergency Contact / Next of Kin</t>
  </si>
  <si>
    <t>FR-A-007</t>
  </si>
  <si>
    <t>Role-Based Patient Information Access</t>
  </si>
  <si>
    <t>Merge Confirmed Duplicate Patient</t>
  </si>
  <si>
    <t>Configure Departments, Doctors and Time Slots</t>
  </si>
  <si>
    <t>Book Appointment</t>
  </si>
  <si>
    <t>Track Appointment Status</t>
  </si>
  <si>
    <t>Reschedule or Cancel Appointment</t>
  </si>
  <si>
    <t>Create Visit Record on Check-in</t>
  </si>
  <si>
    <t>View Daily Appointment List</t>
  </si>
  <si>
    <t>Create Walk-in / Emergency Visit</t>
  </si>
  <si>
    <t>Doctor Daily Appointment List</t>
  </si>
  <si>
    <t>Record Diagnosis</t>
  </si>
  <si>
    <t>Generate Prescription</t>
  </si>
  <si>
    <t>Record Medical/Surgical Procedure Recommendation</t>
  </si>
  <si>
    <t>View Patient Medical History</t>
  </si>
  <si>
    <t>Record Long-term Conditions</t>
  </si>
  <si>
    <t>Order Laboratory Tests</t>
  </si>
  <si>
    <t>View Laboratory Reports</t>
  </si>
  <si>
    <t>View Pending Laboratory Test Requests</t>
  </si>
  <si>
    <t>Update Laboratory Test Status</t>
  </si>
  <si>
    <t>FR-D-003</t>
  </si>
  <si>
    <t>Record Laboratory Test Results</t>
  </si>
  <si>
    <t>FR-D-004</t>
  </si>
  <si>
    <t>Flag Abnormal Laboratory Results</t>
  </si>
  <si>
    <t>Generate Laboratory Report</t>
  </si>
  <si>
    <t>FR-D-006</t>
  </si>
  <si>
    <t>Forward Laboratory Charges to Billing</t>
  </si>
  <si>
    <t>Maintain Laboratory Test Catalogue</t>
  </si>
  <si>
    <t>Maintain Price List</t>
  </si>
  <si>
    <t>Generate Bill</t>
  </si>
  <si>
    <t>Bill Status Management</t>
  </si>
  <si>
    <t>Record Payment</t>
  </si>
  <si>
    <t>Manage Insurance Details</t>
  </si>
  <si>
    <t>Print Bill and Receipt</t>
  </si>
  <si>
    <t>View Daily Collections</t>
  </si>
  <si>
    <t>User Login and Role-Based Access</t>
  </si>
  <si>
    <t>Manage Master Data</t>
  </si>
  <si>
    <t>Generate Operational Reports</t>
  </si>
  <si>
    <t>Schedule Database Backups</t>
  </si>
  <si>
    <t>Create and Manage User Accounts</t>
  </si>
  <si>
    <t>Reset Forgotten Password</t>
  </si>
  <si>
    <t>Restore Database from Backup</t>
  </si>
  <si>
    <t>FRs covered</t>
  </si>
  <si>
    <t>Total FRs</t>
  </si>
  <si>
    <t>How: Obey these rules in each endpoint.</t>
  </si>
  <si>
    <t>The complete HIMS API contract (Modules A to F)</t>
  </si>
  <si>
    <t>All error codes</t>
  </si>
  <si>
    <t>FR coverage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</si>
</sst>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2"/>
      <color rgb="FF1F4E7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9"/>
      <color rgb="FF666666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2" borderId="1" xfId="0" applyFill="1" applyBorder="1"/>
    <xf numFmtId="0" fontId="3" fillId="0" borderId="0" xfId="0" applyFont="1"/>
    <xf numFmtId="0" fontId="0" fillId="3" borderId="1" xfId="0" applyFill="1" applyBorder="1"/>
    <xf numFmtId="0" fontId="0" fillId="4" borderId="1" xfId="0" applyFill="1" applyBorder="1"/>
    <xf numFmtId="0" fontId="5" fillId="0" borderId="0" xfId="0" applyFont="1" applyAlignment="1"/>
    <xf numFmtId="0" fontId="4" fillId="2" borderId="1" xfId="0" applyFont="1" applyFill="1" applyBorder="1"/>
    <xf numFmtId="0" fontId="3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2"/>
  <sheetViews>
    <sheetView showGridLines="0" tabSelected="1" zoomScaleNormal="100" workbookViewId="0">
      <selection activeCell="B5" sqref="B5"/>
    </sheetView>
  </sheetViews>
  <sheetFormatPr defaultColWidth="8.6328125" defaultRowHeight="14.5" x14ac:dyDescent="0.35"/>
  <cols>
    <col min="1" max="1" width="26" customWidth="1"/>
    <col min="2" max="2" width="110" customWidth="1"/>
  </cols>
  <sheetData>
    <row r="1" spans="1:2" ht="15.5" x14ac:dyDescent="0.35">
      <c r="A1" s="1" t="s">
        <v>0</v>
      </c>
    </row>
    <row r="3" spans="1:2" ht="42" customHeight="1" x14ac:dyDescent="0.35">
      <c r="A3" s="2" t="s">
        <v>1</v>
      </c>
      <c r="B3" s="3" t="s">
        <v>2</v>
      </c>
    </row>
    <row r="4" spans="1:2" ht="54.75" customHeight="1" x14ac:dyDescent="0.35">
      <c r="A4" s="2" t="s">
        <v>3</v>
      </c>
      <c r="B4" s="3" t="s">
        <v>4</v>
      </c>
    </row>
    <row r="5" spans="1:2" ht="93.75" customHeight="1" x14ac:dyDescent="0.35">
      <c r="A5" s="2" t="s">
        <v>5</v>
      </c>
      <c r="B5" s="3" t="s">
        <v>6</v>
      </c>
    </row>
    <row r="6" spans="1:2" ht="28.5" customHeight="1" x14ac:dyDescent="0.35">
      <c r="A6" s="2" t="s">
        <v>7</v>
      </c>
      <c r="B6" s="3" t="s">
        <v>8</v>
      </c>
    </row>
    <row r="7" spans="1:2" ht="67.5" customHeight="1" x14ac:dyDescent="0.35">
      <c r="A7" s="2" t="s">
        <v>9</v>
      </c>
      <c r="B7" s="3" t="s">
        <v>10</v>
      </c>
    </row>
    <row r="8" spans="1:2" ht="28.5" customHeight="1" x14ac:dyDescent="0.35">
      <c r="A8" s="2" t="s">
        <v>11</v>
      </c>
      <c r="B8" s="3" t="s">
        <v>12</v>
      </c>
    </row>
    <row r="9" spans="1:2" ht="106.5" customHeight="1" x14ac:dyDescent="0.35">
      <c r="A9" s="2" t="s">
        <v>13</v>
      </c>
      <c r="B9" s="3" t="s">
        <v>14</v>
      </c>
    </row>
    <row r="10" spans="1:2" ht="120" customHeight="1" x14ac:dyDescent="0.35">
      <c r="A10" s="2" t="s">
        <v>15</v>
      </c>
      <c r="B10" s="3" t="s">
        <v>16</v>
      </c>
    </row>
    <row r="11" spans="1:2" ht="28.5" customHeight="1" x14ac:dyDescent="0.35">
      <c r="A11" s="2" t="s">
        <v>17</v>
      </c>
      <c r="B11" s="3" t="s">
        <v>18</v>
      </c>
    </row>
    <row r="12" spans="1:2" ht="42" customHeight="1" x14ac:dyDescent="0.35">
      <c r="A12" s="2" t="s">
        <v>19</v>
      </c>
      <c r="B12" s="3" t="s">
        <v>20</v>
      </c>
    </row>
    <row r="14" spans="1:2" ht="15.5" x14ac:dyDescent="0.35">
      <c r="A14" s="1" t="s">
        <v>21</v>
      </c>
    </row>
    <row r="15" spans="1:2" ht="15.75" customHeight="1" x14ac:dyDescent="0.35">
      <c r="A15" s="4" t="s">
        <v>22</v>
      </c>
      <c r="B15" s="4" t="s">
        <v>23</v>
      </c>
    </row>
    <row r="16" spans="1:2" ht="15.75" customHeight="1" x14ac:dyDescent="0.35">
      <c r="A16" s="5" t="s">
        <v>24</v>
      </c>
      <c r="B16" s="5" t="s">
        <v>25</v>
      </c>
    </row>
    <row r="17" spans="1:2" ht="15.75" customHeight="1" x14ac:dyDescent="0.35">
      <c r="A17" s="5" t="s">
        <v>26</v>
      </c>
      <c r="B17" s="5" t="s">
        <v>27</v>
      </c>
    </row>
    <row r="18" spans="1:2" ht="15.75" customHeight="1" x14ac:dyDescent="0.35">
      <c r="A18" s="5" t="s">
        <v>28</v>
      </c>
      <c r="B18" s="5" t="s">
        <v>29</v>
      </c>
    </row>
    <row r="19" spans="1:2" ht="15.75" customHeight="1" x14ac:dyDescent="0.35">
      <c r="A19" s="5" t="s">
        <v>30</v>
      </c>
      <c r="B19" s="5" t="s">
        <v>31</v>
      </c>
    </row>
    <row r="20" spans="1:2" ht="15.75" customHeight="1" x14ac:dyDescent="0.35">
      <c r="A20" s="5" t="s">
        <v>32</v>
      </c>
      <c r="B20" s="5" t="s">
        <v>33</v>
      </c>
    </row>
    <row r="21" spans="1:2" ht="15.75" customHeight="1" x14ac:dyDescent="0.35">
      <c r="A21" s="5" t="s">
        <v>34</v>
      </c>
      <c r="B21" s="5" t="s">
        <v>35</v>
      </c>
    </row>
    <row r="22" spans="1:2" ht="15.75" customHeight="1" x14ac:dyDescent="0.35">
      <c r="A22" s="5" t="s">
        <v>36</v>
      </c>
      <c r="B22" s="5" t="s">
        <v>37</v>
      </c>
    </row>
    <row r="23" spans="1:2" ht="15.75" customHeight="1" x14ac:dyDescent="0.35">
      <c r="A23" s="5" t="s">
        <v>38</v>
      </c>
      <c r="B23" s="5" t="s">
        <v>39</v>
      </c>
    </row>
    <row r="24" spans="1:2" ht="15.75" customHeight="1" x14ac:dyDescent="0.35">
      <c r="A24" s="5" t="s">
        <v>40</v>
      </c>
      <c r="B24" s="5" t="s">
        <v>41</v>
      </c>
    </row>
    <row r="25" spans="1:2" ht="15.75" customHeight="1" x14ac:dyDescent="0.35">
      <c r="A25" s="5" t="s">
        <v>42</v>
      </c>
      <c r="B25" s="5" t="s">
        <v>43</v>
      </c>
    </row>
    <row r="26" spans="1:2" ht="15.75" customHeight="1" x14ac:dyDescent="0.35">
      <c r="A26" s="5" t="s">
        <v>44</v>
      </c>
      <c r="B26" s="5" t="s">
        <v>45</v>
      </c>
    </row>
    <row r="27" spans="1:2" ht="15.75" customHeight="1" x14ac:dyDescent="0.35">
      <c r="A27" s="5" t="s">
        <v>46</v>
      </c>
      <c r="B27" s="5" t="s">
        <v>47</v>
      </c>
    </row>
    <row r="29" spans="1:2" ht="15.5" x14ac:dyDescent="0.35">
      <c r="A29" s="1" t="s">
        <v>48</v>
      </c>
    </row>
    <row r="30" spans="1:2" x14ac:dyDescent="0.35">
      <c r="A30" s="6"/>
      <c r="B30" s="7" t="s">
        <v>49</v>
      </c>
    </row>
    <row r="31" spans="1:2" x14ac:dyDescent="0.35">
      <c r="A31" s="8"/>
      <c r="B31" s="7" t="s">
        <v>50</v>
      </c>
    </row>
    <row r="32" spans="1:2" x14ac:dyDescent="0.35">
      <c r="A32" s="9"/>
      <c r="B32" s="7" t="s">
        <v>51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  <pageSetUpPr fitToPage="1"/>
  </sheetPr>
  <dimension ref="A1:C18"/>
  <sheetViews>
    <sheetView showGridLines="0" zoomScaleNormal="100" workbookViewId="0">
      <pane ySplit="3" topLeftCell="A4" activePane="bottomLeft" state="frozen"/>
      <selection pane="bottomLeft" activeCell="A2" sqref="A2"/>
    </sheetView>
  </sheetViews>
  <sheetFormatPr defaultColWidth="8.6328125" defaultRowHeight="14.5" x14ac:dyDescent="0.35"/>
  <cols>
    <col min="1" max="1" width="24" customWidth="1"/>
    <col min="2" max="2" width="70" customWidth="1"/>
    <col min="3" max="3" width="52" customWidth="1"/>
  </cols>
  <sheetData>
    <row r="1" spans="1:3" ht="15.5" x14ac:dyDescent="0.35">
      <c r="A1" s="1" t="s">
        <v>130</v>
      </c>
    </row>
    <row r="2" spans="1:3" x14ac:dyDescent="0.35">
      <c r="A2" s="10" t="s">
        <v>1082</v>
      </c>
    </row>
    <row r="3" spans="1:3" ht="15.75" customHeight="1" x14ac:dyDescent="0.35">
      <c r="A3" s="4" t="s">
        <v>91</v>
      </c>
      <c r="B3" s="4" t="s">
        <v>60</v>
      </c>
      <c r="C3" s="4" t="s">
        <v>3</v>
      </c>
    </row>
    <row r="4" spans="1:3" ht="28.5" customHeight="1" x14ac:dyDescent="0.35">
      <c r="A4" s="5" t="s">
        <v>131</v>
      </c>
      <c r="B4" s="5" t="s">
        <v>132</v>
      </c>
      <c r="C4" s="5" t="s">
        <v>133</v>
      </c>
    </row>
    <row r="5" spans="1:3" ht="28.5" customHeight="1" x14ac:dyDescent="0.35">
      <c r="A5" s="5" t="s">
        <v>134</v>
      </c>
      <c r="B5" s="5" t="s">
        <v>135</v>
      </c>
      <c r="C5" s="5" t="s">
        <v>136</v>
      </c>
    </row>
    <row r="6" spans="1:3" ht="28.5" customHeight="1" x14ac:dyDescent="0.35">
      <c r="A6" s="5" t="s">
        <v>137</v>
      </c>
      <c r="B6" s="5" t="s">
        <v>138</v>
      </c>
      <c r="C6" s="5" t="s">
        <v>139</v>
      </c>
    </row>
    <row r="7" spans="1:3" ht="28.5" customHeight="1" x14ac:dyDescent="0.35">
      <c r="A7" s="5" t="s">
        <v>140</v>
      </c>
      <c r="B7" s="5" t="s">
        <v>141</v>
      </c>
      <c r="C7" s="5" t="s">
        <v>142</v>
      </c>
    </row>
    <row r="8" spans="1:3" ht="28.5" customHeight="1" x14ac:dyDescent="0.35">
      <c r="A8" s="5" t="s">
        <v>143</v>
      </c>
      <c r="B8" s="5" t="s">
        <v>144</v>
      </c>
      <c r="C8" s="5" t="s">
        <v>145</v>
      </c>
    </row>
    <row r="9" spans="1:3" ht="15.75" customHeight="1" x14ac:dyDescent="0.35">
      <c r="A9" s="5" t="s">
        <v>146</v>
      </c>
      <c r="B9" s="5" t="s">
        <v>147</v>
      </c>
      <c r="C9" s="5" t="s">
        <v>148</v>
      </c>
    </row>
    <row r="10" spans="1:3" ht="42" customHeight="1" x14ac:dyDescent="0.35">
      <c r="A10" s="5" t="s">
        <v>149</v>
      </c>
      <c r="B10" s="5" t="s">
        <v>150</v>
      </c>
      <c r="C10" s="5" t="s">
        <v>151</v>
      </c>
    </row>
    <row r="11" spans="1:3" ht="15.75" customHeight="1" x14ac:dyDescent="0.35">
      <c r="A11" s="5" t="s">
        <v>152</v>
      </c>
      <c r="B11" s="5" t="s">
        <v>153</v>
      </c>
      <c r="C11" s="5" t="s">
        <v>154</v>
      </c>
    </row>
    <row r="12" spans="1:3" ht="28.5" customHeight="1" x14ac:dyDescent="0.35">
      <c r="A12" s="5" t="s">
        <v>155</v>
      </c>
      <c r="B12" s="5" t="s">
        <v>156</v>
      </c>
      <c r="C12" s="5" t="s">
        <v>157</v>
      </c>
    </row>
    <row r="13" spans="1:3" ht="28.5" customHeight="1" x14ac:dyDescent="0.35">
      <c r="A13" s="5" t="s">
        <v>158</v>
      </c>
      <c r="B13" s="5" t="s">
        <v>159</v>
      </c>
      <c r="C13" s="5" t="s">
        <v>160</v>
      </c>
    </row>
    <row r="14" spans="1:3" ht="28.5" customHeight="1" x14ac:dyDescent="0.35">
      <c r="A14" s="5" t="s">
        <v>161</v>
      </c>
      <c r="B14" s="5" t="s">
        <v>162</v>
      </c>
      <c r="C14" s="5" t="s">
        <v>163</v>
      </c>
    </row>
    <row r="15" spans="1:3" ht="28.5" customHeight="1" x14ac:dyDescent="0.35">
      <c r="A15" s="5" t="s">
        <v>164</v>
      </c>
      <c r="B15" s="5" t="s">
        <v>165</v>
      </c>
      <c r="C15" s="5" t="s">
        <v>166</v>
      </c>
    </row>
    <row r="16" spans="1:3" ht="28.5" customHeight="1" x14ac:dyDescent="0.35">
      <c r="A16" s="5" t="s">
        <v>167</v>
      </c>
      <c r="B16" s="5" t="s">
        <v>168</v>
      </c>
      <c r="C16" s="5" t="s">
        <v>169</v>
      </c>
    </row>
    <row r="17" spans="1:3" ht="28.5" customHeight="1" x14ac:dyDescent="0.35">
      <c r="A17" s="5" t="s">
        <v>170</v>
      </c>
      <c r="B17" s="5" t="s">
        <v>171</v>
      </c>
      <c r="C17" s="5" t="s">
        <v>172</v>
      </c>
    </row>
    <row r="18" spans="1:3" ht="28.5" customHeight="1" x14ac:dyDescent="0.35">
      <c r="A18" s="5" t="s">
        <v>173</v>
      </c>
      <c r="B18" s="5" t="s">
        <v>174</v>
      </c>
      <c r="C18" s="5" t="s">
        <v>175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8080"/>
    <pageSetUpPr fitToPage="1"/>
  </sheetPr>
  <dimension ref="A1:D12"/>
  <sheetViews>
    <sheetView showGridLines="0" zoomScaleNormal="100" workbookViewId="0">
      <pane ySplit="3" topLeftCell="A4" activePane="bottomLeft" state="frozen"/>
      <selection pane="bottomLeft" activeCell="B12" sqref="B12"/>
    </sheetView>
  </sheetViews>
  <sheetFormatPr defaultColWidth="8.6328125" defaultRowHeight="14.5" x14ac:dyDescent="0.35"/>
  <cols>
    <col min="1" max="1" width="10" customWidth="1"/>
    <col min="2" max="2" width="22" customWidth="1"/>
    <col min="3" max="3" width="62" customWidth="1"/>
    <col min="4" max="4" width="40" customWidth="1"/>
  </cols>
  <sheetData>
    <row r="1" spans="1:4" ht="15.5" x14ac:dyDescent="0.35">
      <c r="A1" s="1" t="s">
        <v>176</v>
      </c>
    </row>
    <row r="2" spans="1:4" x14ac:dyDescent="0.35">
      <c r="A2" s="10" t="s">
        <v>177</v>
      </c>
    </row>
    <row r="3" spans="1:4" ht="15.75" customHeight="1" x14ac:dyDescent="0.35">
      <c r="A3" s="4" t="s">
        <v>178</v>
      </c>
      <c r="B3" s="4" t="s">
        <v>179</v>
      </c>
      <c r="C3" s="4" t="s">
        <v>23</v>
      </c>
      <c r="D3" s="4" t="s">
        <v>180</v>
      </c>
    </row>
    <row r="4" spans="1:4" ht="28.5" customHeight="1" x14ac:dyDescent="0.35">
      <c r="A4" s="5" t="s">
        <v>181</v>
      </c>
      <c r="B4" s="5" t="s">
        <v>182</v>
      </c>
      <c r="C4" s="5" t="s">
        <v>183</v>
      </c>
      <c r="D4" s="5" t="s">
        <v>184</v>
      </c>
    </row>
    <row r="5" spans="1:4" ht="28.5" customHeight="1" x14ac:dyDescent="0.35">
      <c r="A5" s="5" t="s">
        <v>87</v>
      </c>
      <c r="B5" s="5" t="s">
        <v>185</v>
      </c>
      <c r="C5" s="5" t="s">
        <v>186</v>
      </c>
      <c r="D5" s="5" t="s">
        <v>187</v>
      </c>
    </row>
    <row r="6" spans="1:4" ht="15.75" customHeight="1" x14ac:dyDescent="0.35">
      <c r="A6" s="5" t="s">
        <v>188</v>
      </c>
      <c r="B6" s="5" t="s">
        <v>189</v>
      </c>
      <c r="C6" s="5" t="s">
        <v>190</v>
      </c>
      <c r="D6" s="5" t="s">
        <v>191</v>
      </c>
    </row>
    <row r="7" spans="1:4" ht="28.5" customHeight="1" x14ac:dyDescent="0.35">
      <c r="A7" s="5" t="s">
        <v>192</v>
      </c>
      <c r="B7" s="5" t="s">
        <v>193</v>
      </c>
      <c r="C7" s="5" t="s">
        <v>194</v>
      </c>
      <c r="D7" s="5" t="s">
        <v>195</v>
      </c>
    </row>
    <row r="8" spans="1:4" ht="28.5" customHeight="1" x14ac:dyDescent="0.35">
      <c r="A8" s="5" t="s">
        <v>196</v>
      </c>
      <c r="B8" s="5" t="s">
        <v>197</v>
      </c>
      <c r="C8" s="5" t="s">
        <v>198</v>
      </c>
      <c r="D8" s="5" t="s">
        <v>199</v>
      </c>
    </row>
    <row r="9" spans="1:4" ht="28.5" customHeight="1" x14ac:dyDescent="0.35">
      <c r="A9" s="5" t="s">
        <v>200</v>
      </c>
      <c r="B9" s="5" t="s">
        <v>201</v>
      </c>
      <c r="C9" s="5" t="s">
        <v>202</v>
      </c>
      <c r="D9" s="5" t="s">
        <v>203</v>
      </c>
    </row>
    <row r="10" spans="1:4" ht="15.75" customHeight="1" x14ac:dyDescent="0.35">
      <c r="A10" s="5" t="s">
        <v>89</v>
      </c>
      <c r="B10" s="5" t="s">
        <v>204</v>
      </c>
      <c r="C10" s="5" t="s">
        <v>205</v>
      </c>
      <c r="D10" s="5" t="s">
        <v>206</v>
      </c>
    </row>
    <row r="11" spans="1:4" ht="28.5" customHeight="1" x14ac:dyDescent="0.35">
      <c r="A11" s="5" t="s">
        <v>92</v>
      </c>
      <c r="B11" s="5" t="s">
        <v>207</v>
      </c>
      <c r="C11" s="5" t="s">
        <v>208</v>
      </c>
      <c r="D11" s="5" t="s">
        <v>209</v>
      </c>
    </row>
    <row r="12" spans="1:4" ht="28.5" customHeight="1" x14ac:dyDescent="0.35">
      <c r="A12" s="5" t="s">
        <v>94</v>
      </c>
      <c r="B12" s="5" t="s">
        <v>210</v>
      </c>
      <c r="C12" s="5" t="s">
        <v>211</v>
      </c>
      <c r="D12" s="5" t="s">
        <v>212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48235"/>
    <pageSetUpPr fitToPage="1"/>
  </sheetPr>
  <dimension ref="A1:O101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01" sqref="D101"/>
    </sheetView>
  </sheetViews>
  <sheetFormatPr defaultColWidth="8.6328125" defaultRowHeight="14.5" x14ac:dyDescent="0.35"/>
  <cols>
    <col min="1" max="1" width="10" customWidth="1"/>
    <col min="2" max="2" width="8" customWidth="1"/>
    <col min="3" max="3" width="9" customWidth="1"/>
    <col min="4" max="4" width="40" customWidth="1"/>
    <col min="5" max="5" width="22" customWidth="1"/>
    <col min="6" max="6" width="34" customWidth="1"/>
    <col min="7" max="7" width="48" customWidth="1"/>
    <col min="8" max="8" width="9" customWidth="1"/>
    <col min="9" max="9" width="40" customWidth="1"/>
    <col min="10" max="10" width="48" customWidth="1"/>
    <col min="11" max="11" width="16" customWidth="1"/>
    <col min="12" max="12" width="11" customWidth="1"/>
    <col min="13" max="13" width="14" customWidth="1"/>
    <col min="14" max="15" width="16" customWidth="1"/>
  </cols>
  <sheetData>
    <row r="1" spans="1:15" ht="15.5" x14ac:dyDescent="0.35">
      <c r="A1" s="1" t="s">
        <v>1083</v>
      </c>
    </row>
    <row r="2" spans="1:15" x14ac:dyDescent="0.35">
      <c r="A2" s="10"/>
    </row>
    <row r="3" spans="1:15" ht="28.5" customHeight="1" x14ac:dyDescent="0.35">
      <c r="A3" s="4" t="s">
        <v>65</v>
      </c>
      <c r="B3" s="4" t="s">
        <v>53</v>
      </c>
      <c r="C3" s="4" t="s">
        <v>30</v>
      </c>
      <c r="D3" s="4" t="s">
        <v>32</v>
      </c>
      <c r="E3" s="4" t="s">
        <v>77</v>
      </c>
      <c r="F3" s="4" t="s">
        <v>121</v>
      </c>
      <c r="G3" s="4" t="s">
        <v>122</v>
      </c>
      <c r="H3" s="4" t="s">
        <v>123</v>
      </c>
      <c r="I3" s="4" t="s">
        <v>124</v>
      </c>
      <c r="J3" s="4" t="s">
        <v>125</v>
      </c>
      <c r="K3" s="4" t="s">
        <v>102</v>
      </c>
      <c r="L3" s="4" t="s">
        <v>52</v>
      </c>
      <c r="M3" s="4" t="s">
        <v>103</v>
      </c>
      <c r="N3" s="4" t="s">
        <v>104</v>
      </c>
      <c r="O3" s="4" t="s">
        <v>105</v>
      </c>
    </row>
    <row r="4" spans="1:15" ht="67.5" customHeight="1" x14ac:dyDescent="0.35">
      <c r="A4" s="5" t="s">
        <v>213</v>
      </c>
      <c r="B4" s="5" t="s">
        <v>214</v>
      </c>
      <c r="C4" s="5" t="s">
        <v>62</v>
      </c>
      <c r="D4" s="5" t="s">
        <v>215</v>
      </c>
      <c r="E4" s="5" t="s">
        <v>58</v>
      </c>
      <c r="F4" s="5" t="s">
        <v>216</v>
      </c>
      <c r="G4" s="5" t="s">
        <v>217</v>
      </c>
      <c r="H4" s="5" t="s">
        <v>87</v>
      </c>
      <c r="I4" s="5" t="s">
        <v>218</v>
      </c>
      <c r="J4" s="5" t="s">
        <v>219</v>
      </c>
      <c r="K4" s="5" t="s">
        <v>220</v>
      </c>
      <c r="L4" s="5" t="s">
        <v>221</v>
      </c>
      <c r="M4" s="5" t="s">
        <v>222</v>
      </c>
      <c r="N4" s="5" t="s">
        <v>68</v>
      </c>
      <c r="O4" s="5" t="s">
        <v>223</v>
      </c>
    </row>
    <row r="5" spans="1:15" ht="28.5" customHeight="1" x14ac:dyDescent="0.35">
      <c r="A5" s="5" t="s">
        <v>224</v>
      </c>
      <c r="B5" s="5" t="s">
        <v>214</v>
      </c>
      <c r="C5" s="5" t="s">
        <v>62</v>
      </c>
      <c r="D5" s="5" t="s">
        <v>225</v>
      </c>
      <c r="E5" s="5" t="s">
        <v>58</v>
      </c>
      <c r="F5" s="5" t="s">
        <v>226</v>
      </c>
      <c r="G5" s="5" t="s">
        <v>227</v>
      </c>
      <c r="H5" s="5" t="s">
        <v>181</v>
      </c>
      <c r="I5" s="5" t="s">
        <v>228</v>
      </c>
      <c r="J5" s="5" t="s">
        <v>229</v>
      </c>
      <c r="K5" s="5" t="s">
        <v>230</v>
      </c>
      <c r="L5" s="5" t="s">
        <v>221</v>
      </c>
      <c r="M5" s="5" t="s">
        <v>231</v>
      </c>
      <c r="N5" s="5" t="s">
        <v>68</v>
      </c>
      <c r="O5" s="5" t="s">
        <v>232</v>
      </c>
    </row>
    <row r="6" spans="1:15" ht="42" customHeight="1" x14ac:dyDescent="0.35">
      <c r="A6" s="5" t="s">
        <v>233</v>
      </c>
      <c r="B6" s="5" t="s">
        <v>214</v>
      </c>
      <c r="C6" s="5" t="s">
        <v>61</v>
      </c>
      <c r="D6" s="5" t="s">
        <v>133</v>
      </c>
      <c r="E6" s="5" t="s">
        <v>234</v>
      </c>
      <c r="F6" s="5" t="s">
        <v>235</v>
      </c>
      <c r="G6" s="5" t="s">
        <v>236</v>
      </c>
      <c r="H6" s="5" t="s">
        <v>181</v>
      </c>
      <c r="I6" s="5" t="s">
        <v>237</v>
      </c>
      <c r="J6" s="5" t="s">
        <v>238</v>
      </c>
      <c r="K6" s="5" t="s">
        <v>239</v>
      </c>
      <c r="L6" s="5" t="s">
        <v>240</v>
      </c>
      <c r="M6" s="5" t="s">
        <v>241</v>
      </c>
      <c r="N6" s="5" t="s">
        <v>68</v>
      </c>
      <c r="O6" s="5" t="s">
        <v>242</v>
      </c>
    </row>
    <row r="7" spans="1:15" ht="42" customHeight="1" x14ac:dyDescent="0.35">
      <c r="A7" s="5" t="s">
        <v>243</v>
      </c>
      <c r="B7" s="5" t="s">
        <v>214</v>
      </c>
      <c r="C7" s="5" t="s">
        <v>61</v>
      </c>
      <c r="D7" s="5" t="s">
        <v>244</v>
      </c>
      <c r="E7" s="5" t="s">
        <v>234</v>
      </c>
      <c r="F7" s="5" t="s">
        <v>245</v>
      </c>
      <c r="G7" s="5" t="s">
        <v>246</v>
      </c>
      <c r="H7" s="5" t="s">
        <v>181</v>
      </c>
      <c r="I7" s="5" t="s">
        <v>247</v>
      </c>
      <c r="J7" s="5" t="s">
        <v>248</v>
      </c>
      <c r="K7" s="5" t="s">
        <v>239</v>
      </c>
      <c r="L7" s="5" t="s">
        <v>240</v>
      </c>
      <c r="M7" s="5" t="s">
        <v>241</v>
      </c>
      <c r="N7" s="5" t="s">
        <v>68</v>
      </c>
      <c r="O7" s="5" t="s">
        <v>242</v>
      </c>
    </row>
    <row r="8" spans="1:15" ht="42" customHeight="1" x14ac:dyDescent="0.35">
      <c r="A8" s="5" t="s">
        <v>249</v>
      </c>
      <c r="B8" s="5" t="s">
        <v>214</v>
      </c>
      <c r="C8" s="5" t="s">
        <v>61</v>
      </c>
      <c r="D8" s="5" t="s">
        <v>250</v>
      </c>
      <c r="E8" s="5" t="s">
        <v>251</v>
      </c>
      <c r="F8" s="5" t="s">
        <v>252</v>
      </c>
      <c r="G8" s="5" t="s">
        <v>246</v>
      </c>
      <c r="H8" s="5" t="s">
        <v>181</v>
      </c>
      <c r="I8" s="5" t="s">
        <v>253</v>
      </c>
      <c r="J8" s="5" t="s">
        <v>254</v>
      </c>
      <c r="K8" s="5" t="s">
        <v>255</v>
      </c>
      <c r="L8" s="5" t="s">
        <v>240</v>
      </c>
      <c r="M8" s="5" t="s">
        <v>256</v>
      </c>
      <c r="N8" s="5" t="s">
        <v>257</v>
      </c>
      <c r="O8" s="5" t="s">
        <v>258</v>
      </c>
    </row>
    <row r="9" spans="1:15" ht="28.5" customHeight="1" x14ac:dyDescent="0.35">
      <c r="A9" s="5" t="s">
        <v>259</v>
      </c>
      <c r="B9" s="5" t="s">
        <v>214</v>
      </c>
      <c r="C9" s="5" t="s">
        <v>63</v>
      </c>
      <c r="D9" s="5" t="s">
        <v>244</v>
      </c>
      <c r="E9" s="5" t="s">
        <v>58</v>
      </c>
      <c r="F9" s="5" t="s">
        <v>260</v>
      </c>
      <c r="G9" s="5" t="s">
        <v>261</v>
      </c>
      <c r="H9" s="5" t="s">
        <v>181</v>
      </c>
      <c r="I9" s="5" t="s">
        <v>262</v>
      </c>
      <c r="J9" s="5" t="s">
        <v>263</v>
      </c>
      <c r="K9" s="5" t="s">
        <v>264</v>
      </c>
      <c r="L9" s="5" t="s">
        <v>265</v>
      </c>
      <c r="M9" s="5" t="s">
        <v>266</v>
      </c>
      <c r="N9" s="5" t="s">
        <v>68</v>
      </c>
      <c r="O9" s="5" t="s">
        <v>267</v>
      </c>
    </row>
    <row r="10" spans="1:15" ht="42" customHeight="1" x14ac:dyDescent="0.35">
      <c r="A10" s="5" t="s">
        <v>268</v>
      </c>
      <c r="B10" s="5" t="s">
        <v>214</v>
      </c>
      <c r="C10" s="5" t="s">
        <v>61</v>
      </c>
      <c r="D10" s="5" t="s">
        <v>269</v>
      </c>
      <c r="E10" s="5" t="s">
        <v>84</v>
      </c>
      <c r="F10" s="5" t="s">
        <v>270</v>
      </c>
      <c r="G10" s="5" t="s">
        <v>271</v>
      </c>
      <c r="H10" s="5" t="s">
        <v>181</v>
      </c>
      <c r="I10" s="5" t="s">
        <v>272</v>
      </c>
      <c r="J10" s="5" t="s">
        <v>248</v>
      </c>
      <c r="K10" s="5" t="s">
        <v>264</v>
      </c>
      <c r="L10" s="5" t="s">
        <v>265</v>
      </c>
      <c r="M10" s="5" t="s">
        <v>266</v>
      </c>
      <c r="N10" s="5" t="s">
        <v>68</v>
      </c>
      <c r="O10" s="5" t="s">
        <v>267</v>
      </c>
    </row>
    <row r="11" spans="1:15" ht="28.5" customHeight="1" x14ac:dyDescent="0.35">
      <c r="A11" s="5" t="s">
        <v>273</v>
      </c>
      <c r="B11" s="5" t="s">
        <v>214</v>
      </c>
      <c r="C11" s="5" t="s">
        <v>62</v>
      </c>
      <c r="D11" s="5" t="s">
        <v>274</v>
      </c>
      <c r="E11" s="5" t="s">
        <v>58</v>
      </c>
      <c r="F11" s="5" t="s">
        <v>275</v>
      </c>
      <c r="G11" s="5" t="s">
        <v>276</v>
      </c>
      <c r="H11" s="5" t="s">
        <v>87</v>
      </c>
      <c r="I11" s="5" t="s">
        <v>277</v>
      </c>
      <c r="J11" s="5" t="s">
        <v>278</v>
      </c>
      <c r="K11" s="5" t="s">
        <v>279</v>
      </c>
      <c r="L11" s="5" t="s">
        <v>221</v>
      </c>
      <c r="M11" s="5" t="s">
        <v>280</v>
      </c>
      <c r="N11" s="5" t="s">
        <v>68</v>
      </c>
      <c r="O11" s="5" t="s">
        <v>281</v>
      </c>
    </row>
    <row r="12" spans="1:15" ht="28.5" customHeight="1" x14ac:dyDescent="0.35">
      <c r="A12" s="5" t="s">
        <v>282</v>
      </c>
      <c r="B12" s="5" t="s">
        <v>214</v>
      </c>
      <c r="C12" s="5" t="s">
        <v>63</v>
      </c>
      <c r="D12" s="5" t="s">
        <v>283</v>
      </c>
      <c r="E12" s="5" t="s">
        <v>58</v>
      </c>
      <c r="F12" s="5" t="s">
        <v>284</v>
      </c>
      <c r="G12" s="5" t="s">
        <v>285</v>
      </c>
      <c r="H12" s="5" t="s">
        <v>181</v>
      </c>
      <c r="I12" s="5" t="s">
        <v>286</v>
      </c>
      <c r="J12" s="5" t="s">
        <v>287</v>
      </c>
      <c r="K12" s="5" t="s">
        <v>279</v>
      </c>
      <c r="L12" s="5" t="s">
        <v>221</v>
      </c>
      <c r="M12" s="5" t="s">
        <v>280</v>
      </c>
      <c r="N12" s="5" t="s">
        <v>68</v>
      </c>
      <c r="O12" s="5" t="s">
        <v>281</v>
      </c>
    </row>
    <row r="13" spans="1:15" ht="42" customHeight="1" x14ac:dyDescent="0.35">
      <c r="A13" s="5" t="s">
        <v>288</v>
      </c>
      <c r="B13" s="5" t="s">
        <v>214</v>
      </c>
      <c r="C13" s="5" t="s">
        <v>62</v>
      </c>
      <c r="D13" s="5" t="s">
        <v>289</v>
      </c>
      <c r="E13" s="5" t="s">
        <v>58</v>
      </c>
      <c r="F13" s="5" t="s">
        <v>290</v>
      </c>
      <c r="G13" s="5" t="s">
        <v>291</v>
      </c>
      <c r="H13" s="5" t="s">
        <v>181</v>
      </c>
      <c r="I13" s="5" t="s">
        <v>292</v>
      </c>
      <c r="J13" s="5" t="s">
        <v>293</v>
      </c>
      <c r="K13" s="5" t="s">
        <v>294</v>
      </c>
      <c r="L13" s="5" t="s">
        <v>221</v>
      </c>
      <c r="M13" s="5" t="s">
        <v>295</v>
      </c>
      <c r="N13" s="5" t="s">
        <v>68</v>
      </c>
      <c r="O13" s="5" t="s">
        <v>296</v>
      </c>
    </row>
    <row r="14" spans="1:15" ht="28.5" customHeight="1" x14ac:dyDescent="0.35">
      <c r="A14" s="5" t="s">
        <v>297</v>
      </c>
      <c r="B14" s="5" t="s">
        <v>59</v>
      </c>
      <c r="C14" s="5" t="s">
        <v>62</v>
      </c>
      <c r="D14" s="5" t="s">
        <v>298</v>
      </c>
      <c r="E14" s="5" t="s">
        <v>84</v>
      </c>
      <c r="F14" s="5" t="s">
        <v>299</v>
      </c>
      <c r="G14" s="5" t="s">
        <v>300</v>
      </c>
      <c r="H14" s="5" t="s">
        <v>87</v>
      </c>
      <c r="I14" s="5" t="s">
        <v>301</v>
      </c>
      <c r="J14" s="5" t="s">
        <v>302</v>
      </c>
      <c r="K14" s="5" t="s">
        <v>303</v>
      </c>
      <c r="L14" s="5" t="s">
        <v>304</v>
      </c>
      <c r="M14" s="5" t="s">
        <v>305</v>
      </c>
      <c r="N14" s="5" t="s">
        <v>306</v>
      </c>
      <c r="O14" s="5" t="s">
        <v>307</v>
      </c>
    </row>
    <row r="15" spans="1:15" ht="28.5" customHeight="1" x14ac:dyDescent="0.35">
      <c r="A15" s="5" t="s">
        <v>308</v>
      </c>
      <c r="B15" s="5" t="s">
        <v>59</v>
      </c>
      <c r="C15" s="5" t="s">
        <v>63</v>
      </c>
      <c r="D15" s="5" t="s">
        <v>309</v>
      </c>
      <c r="E15" s="5" t="s">
        <v>84</v>
      </c>
      <c r="F15" s="5" t="s">
        <v>310</v>
      </c>
      <c r="G15" s="5" t="s">
        <v>311</v>
      </c>
      <c r="H15" s="5" t="s">
        <v>181</v>
      </c>
      <c r="I15" s="5" t="s">
        <v>312</v>
      </c>
      <c r="J15" s="5" t="s">
        <v>313</v>
      </c>
      <c r="K15" s="5" t="s">
        <v>303</v>
      </c>
      <c r="L15" s="5" t="s">
        <v>304</v>
      </c>
      <c r="M15" s="5" t="s">
        <v>305</v>
      </c>
      <c r="N15" s="5" t="s">
        <v>314</v>
      </c>
      <c r="O15" s="5" t="s">
        <v>307</v>
      </c>
    </row>
    <row r="16" spans="1:15" ht="28.5" customHeight="1" x14ac:dyDescent="0.35">
      <c r="A16" s="5" t="s">
        <v>315</v>
      </c>
      <c r="B16" s="5" t="s">
        <v>59</v>
      </c>
      <c r="C16" s="5" t="s">
        <v>61</v>
      </c>
      <c r="D16" s="5" t="s">
        <v>298</v>
      </c>
      <c r="E16" s="5" t="s">
        <v>316</v>
      </c>
      <c r="F16" s="5" t="s">
        <v>317</v>
      </c>
      <c r="G16" s="5" t="s">
        <v>318</v>
      </c>
      <c r="H16" s="5" t="s">
        <v>181</v>
      </c>
      <c r="I16" s="5" t="s">
        <v>319</v>
      </c>
      <c r="J16" s="5" t="s">
        <v>246</v>
      </c>
      <c r="K16" s="5" t="s">
        <v>303</v>
      </c>
      <c r="L16" s="5" t="s">
        <v>57</v>
      </c>
      <c r="M16" s="5" t="s">
        <v>305</v>
      </c>
      <c r="N16" s="5" t="s">
        <v>68</v>
      </c>
      <c r="O16" s="5" t="s">
        <v>307</v>
      </c>
    </row>
    <row r="17" spans="1:15" ht="28.5" customHeight="1" x14ac:dyDescent="0.35">
      <c r="A17" s="5" t="s">
        <v>320</v>
      </c>
      <c r="B17" s="5" t="s">
        <v>59</v>
      </c>
      <c r="C17" s="5" t="s">
        <v>62</v>
      </c>
      <c r="D17" s="5" t="s">
        <v>321</v>
      </c>
      <c r="E17" s="5" t="s">
        <v>84</v>
      </c>
      <c r="F17" s="5" t="s">
        <v>322</v>
      </c>
      <c r="G17" s="5" t="s">
        <v>323</v>
      </c>
      <c r="H17" s="5" t="s">
        <v>87</v>
      </c>
      <c r="I17" s="5" t="s">
        <v>324</v>
      </c>
      <c r="J17" s="5" t="s">
        <v>325</v>
      </c>
      <c r="K17" s="5" t="s">
        <v>303</v>
      </c>
      <c r="L17" s="5" t="s">
        <v>304</v>
      </c>
      <c r="M17" s="5" t="s">
        <v>305</v>
      </c>
      <c r="N17" s="5" t="s">
        <v>306</v>
      </c>
      <c r="O17" s="5" t="s">
        <v>307</v>
      </c>
    </row>
    <row r="18" spans="1:15" ht="28.5" customHeight="1" x14ac:dyDescent="0.35">
      <c r="A18" s="5" t="s">
        <v>326</v>
      </c>
      <c r="B18" s="5" t="s">
        <v>59</v>
      </c>
      <c r="C18" s="5" t="s">
        <v>63</v>
      </c>
      <c r="D18" s="5" t="s">
        <v>327</v>
      </c>
      <c r="E18" s="5" t="s">
        <v>84</v>
      </c>
      <c r="F18" s="5" t="s">
        <v>328</v>
      </c>
      <c r="G18" s="5" t="s">
        <v>329</v>
      </c>
      <c r="H18" s="5" t="s">
        <v>181</v>
      </c>
      <c r="I18" s="5" t="s">
        <v>330</v>
      </c>
      <c r="J18" s="5" t="s">
        <v>331</v>
      </c>
      <c r="K18" s="5" t="s">
        <v>303</v>
      </c>
      <c r="L18" s="5" t="s">
        <v>304</v>
      </c>
      <c r="M18" s="5" t="s">
        <v>305</v>
      </c>
      <c r="N18" s="5" t="s">
        <v>314</v>
      </c>
      <c r="O18" s="5" t="s">
        <v>307</v>
      </c>
    </row>
    <row r="19" spans="1:15" ht="28.5" customHeight="1" x14ac:dyDescent="0.35">
      <c r="A19" s="5" t="s">
        <v>332</v>
      </c>
      <c r="B19" s="5" t="s">
        <v>59</v>
      </c>
      <c r="C19" s="5" t="s">
        <v>61</v>
      </c>
      <c r="D19" s="5" t="s">
        <v>321</v>
      </c>
      <c r="E19" s="5" t="s">
        <v>316</v>
      </c>
      <c r="F19" s="5" t="s">
        <v>333</v>
      </c>
      <c r="G19" s="5" t="s">
        <v>334</v>
      </c>
      <c r="H19" s="5" t="s">
        <v>181</v>
      </c>
      <c r="I19" s="5" t="s">
        <v>335</v>
      </c>
      <c r="J19" s="5" t="s">
        <v>246</v>
      </c>
      <c r="K19" s="5" t="s">
        <v>303</v>
      </c>
      <c r="L19" s="5" t="s">
        <v>57</v>
      </c>
      <c r="M19" s="5" t="s">
        <v>305</v>
      </c>
      <c r="N19" s="5" t="s">
        <v>68</v>
      </c>
      <c r="O19" s="5" t="s">
        <v>307</v>
      </c>
    </row>
    <row r="20" spans="1:15" ht="28.5" customHeight="1" x14ac:dyDescent="0.35">
      <c r="A20" s="5" t="s">
        <v>336</v>
      </c>
      <c r="B20" s="5" t="s">
        <v>59</v>
      </c>
      <c r="C20" s="5" t="s">
        <v>62</v>
      </c>
      <c r="D20" s="5" t="s">
        <v>337</v>
      </c>
      <c r="E20" s="5" t="s">
        <v>84</v>
      </c>
      <c r="F20" s="5" t="s">
        <v>338</v>
      </c>
      <c r="G20" s="5" t="s">
        <v>339</v>
      </c>
      <c r="H20" s="5" t="s">
        <v>87</v>
      </c>
      <c r="I20" s="5" t="s">
        <v>340</v>
      </c>
      <c r="J20" s="5" t="s">
        <v>341</v>
      </c>
      <c r="K20" s="5" t="s">
        <v>303</v>
      </c>
      <c r="L20" s="5" t="s">
        <v>304</v>
      </c>
      <c r="M20" s="5" t="s">
        <v>305</v>
      </c>
      <c r="N20" s="5" t="s">
        <v>306</v>
      </c>
      <c r="O20" s="5" t="s">
        <v>307</v>
      </c>
    </row>
    <row r="21" spans="1:15" ht="28.5" customHeight="1" x14ac:dyDescent="0.35">
      <c r="A21" s="5" t="s">
        <v>342</v>
      </c>
      <c r="B21" s="5" t="s">
        <v>59</v>
      </c>
      <c r="C21" s="5" t="s">
        <v>63</v>
      </c>
      <c r="D21" s="5" t="s">
        <v>343</v>
      </c>
      <c r="E21" s="5" t="s">
        <v>84</v>
      </c>
      <c r="F21" s="5" t="s">
        <v>344</v>
      </c>
      <c r="G21" s="5" t="s">
        <v>345</v>
      </c>
      <c r="H21" s="5" t="s">
        <v>181</v>
      </c>
      <c r="I21" s="5" t="s">
        <v>346</v>
      </c>
      <c r="J21" s="5" t="s">
        <v>347</v>
      </c>
      <c r="K21" s="5" t="s">
        <v>303</v>
      </c>
      <c r="L21" s="5" t="s">
        <v>304</v>
      </c>
      <c r="M21" s="5" t="s">
        <v>305</v>
      </c>
      <c r="N21" s="5" t="s">
        <v>314</v>
      </c>
      <c r="O21" s="5" t="s">
        <v>307</v>
      </c>
    </row>
    <row r="22" spans="1:15" ht="28.5" customHeight="1" x14ac:dyDescent="0.35">
      <c r="A22" s="5" t="s">
        <v>73</v>
      </c>
      <c r="B22" s="5" t="s">
        <v>59</v>
      </c>
      <c r="C22" s="5" t="s">
        <v>61</v>
      </c>
      <c r="D22" s="5" t="s">
        <v>74</v>
      </c>
      <c r="E22" s="5" t="s">
        <v>58</v>
      </c>
      <c r="F22" s="5" t="s">
        <v>348</v>
      </c>
      <c r="G22" s="5" t="s">
        <v>349</v>
      </c>
      <c r="H22" s="5" t="s">
        <v>181</v>
      </c>
      <c r="I22" s="5" t="s">
        <v>350</v>
      </c>
      <c r="J22" s="5" t="s">
        <v>351</v>
      </c>
      <c r="K22" s="5" t="s">
        <v>116</v>
      </c>
      <c r="L22" s="5" t="s">
        <v>57</v>
      </c>
      <c r="M22" s="5" t="s">
        <v>117</v>
      </c>
      <c r="N22" s="5" t="s">
        <v>68</v>
      </c>
      <c r="O22" s="5" t="s">
        <v>118</v>
      </c>
    </row>
    <row r="23" spans="1:15" ht="42" customHeight="1" x14ac:dyDescent="0.35">
      <c r="A23" s="5" t="s">
        <v>75</v>
      </c>
      <c r="B23" s="5" t="s">
        <v>59</v>
      </c>
      <c r="C23" s="5" t="s">
        <v>62</v>
      </c>
      <c r="D23" s="5" t="s">
        <v>76</v>
      </c>
      <c r="E23" s="5" t="s">
        <v>58</v>
      </c>
      <c r="F23" s="5" t="s">
        <v>352</v>
      </c>
      <c r="G23" s="5" t="s">
        <v>353</v>
      </c>
      <c r="H23" s="5" t="s">
        <v>87</v>
      </c>
      <c r="I23" s="5" t="s">
        <v>354</v>
      </c>
      <c r="J23" s="5" t="s">
        <v>355</v>
      </c>
      <c r="K23" s="5" t="s">
        <v>116</v>
      </c>
      <c r="L23" s="5" t="s">
        <v>57</v>
      </c>
      <c r="M23" s="5" t="s">
        <v>117</v>
      </c>
      <c r="N23" s="5" t="s">
        <v>119</v>
      </c>
      <c r="O23" s="5" t="s">
        <v>118</v>
      </c>
    </row>
    <row r="24" spans="1:15" ht="28.5" customHeight="1" x14ac:dyDescent="0.35">
      <c r="A24" s="5" t="s">
        <v>356</v>
      </c>
      <c r="B24" s="5" t="s">
        <v>59</v>
      </c>
      <c r="C24" s="5" t="s">
        <v>61</v>
      </c>
      <c r="D24" s="5" t="s">
        <v>357</v>
      </c>
      <c r="E24" s="5" t="s">
        <v>358</v>
      </c>
      <c r="F24" s="5" t="s">
        <v>359</v>
      </c>
      <c r="G24" s="5" t="s">
        <v>246</v>
      </c>
      <c r="H24" s="5" t="s">
        <v>181</v>
      </c>
      <c r="I24" s="5" t="s">
        <v>360</v>
      </c>
      <c r="J24" s="5" t="s">
        <v>361</v>
      </c>
      <c r="K24" s="5" t="s">
        <v>362</v>
      </c>
      <c r="L24" s="5" t="s">
        <v>57</v>
      </c>
      <c r="M24" s="5" t="s">
        <v>363</v>
      </c>
      <c r="N24" s="5" t="s">
        <v>68</v>
      </c>
      <c r="O24" s="5" t="s">
        <v>364</v>
      </c>
    </row>
    <row r="25" spans="1:15" ht="28.5" customHeight="1" x14ac:dyDescent="0.35">
      <c r="A25" s="5" t="s">
        <v>365</v>
      </c>
      <c r="B25" s="5" t="s">
        <v>59</v>
      </c>
      <c r="C25" s="5" t="s">
        <v>61</v>
      </c>
      <c r="D25" s="5" t="s">
        <v>366</v>
      </c>
      <c r="E25" s="5" t="s">
        <v>367</v>
      </c>
      <c r="F25" s="5" t="s">
        <v>368</v>
      </c>
      <c r="G25" s="5" t="s">
        <v>246</v>
      </c>
      <c r="H25" s="5" t="s">
        <v>181</v>
      </c>
      <c r="I25" s="5" t="s">
        <v>369</v>
      </c>
      <c r="J25" s="5" t="s">
        <v>361</v>
      </c>
      <c r="K25" s="5" t="s">
        <v>362</v>
      </c>
      <c r="L25" s="5" t="s">
        <v>57</v>
      </c>
      <c r="M25" s="5" t="s">
        <v>363</v>
      </c>
      <c r="N25" s="5" t="s">
        <v>68</v>
      </c>
      <c r="O25" s="5" t="s">
        <v>364</v>
      </c>
    </row>
    <row r="26" spans="1:15" ht="42" customHeight="1" x14ac:dyDescent="0.35">
      <c r="A26" s="5" t="s">
        <v>370</v>
      </c>
      <c r="B26" s="5" t="s">
        <v>59</v>
      </c>
      <c r="C26" s="5" t="s">
        <v>63</v>
      </c>
      <c r="D26" s="5" t="s">
        <v>371</v>
      </c>
      <c r="E26" s="5" t="s">
        <v>58</v>
      </c>
      <c r="F26" s="5" t="s">
        <v>372</v>
      </c>
      <c r="G26" s="5" t="s">
        <v>373</v>
      </c>
      <c r="H26" s="5" t="s">
        <v>181</v>
      </c>
      <c r="I26" s="5" t="s">
        <v>374</v>
      </c>
      <c r="J26" s="5" t="s">
        <v>375</v>
      </c>
      <c r="K26" s="5" t="s">
        <v>376</v>
      </c>
      <c r="L26" s="5" t="s">
        <v>57</v>
      </c>
      <c r="M26" s="5" t="s">
        <v>377</v>
      </c>
      <c r="N26" s="5" t="s">
        <v>68</v>
      </c>
      <c r="O26" s="5" t="s">
        <v>378</v>
      </c>
    </row>
    <row r="27" spans="1:15" ht="28.5" customHeight="1" x14ac:dyDescent="0.35">
      <c r="A27" s="5" t="s">
        <v>379</v>
      </c>
      <c r="B27" s="5" t="s">
        <v>59</v>
      </c>
      <c r="C27" s="5" t="s">
        <v>62</v>
      </c>
      <c r="D27" s="5" t="s">
        <v>380</v>
      </c>
      <c r="E27" s="5" t="s">
        <v>58</v>
      </c>
      <c r="F27" s="5" t="s">
        <v>381</v>
      </c>
      <c r="G27" s="5" t="s">
        <v>382</v>
      </c>
      <c r="H27" s="5" t="s">
        <v>181</v>
      </c>
      <c r="I27" s="5" t="s">
        <v>383</v>
      </c>
      <c r="J27" s="5" t="s">
        <v>384</v>
      </c>
      <c r="K27" s="5" t="s">
        <v>376</v>
      </c>
      <c r="L27" s="5" t="s">
        <v>57</v>
      </c>
      <c r="M27" s="5" t="s">
        <v>377</v>
      </c>
      <c r="N27" s="5" t="s">
        <v>385</v>
      </c>
      <c r="O27" s="5" t="s">
        <v>378</v>
      </c>
    </row>
    <row r="28" spans="1:15" ht="42" customHeight="1" x14ac:dyDescent="0.35">
      <c r="A28" s="5" t="s">
        <v>386</v>
      </c>
      <c r="B28" s="5" t="s">
        <v>59</v>
      </c>
      <c r="C28" s="5" t="s">
        <v>62</v>
      </c>
      <c r="D28" s="5" t="s">
        <v>387</v>
      </c>
      <c r="E28" s="5" t="s">
        <v>58</v>
      </c>
      <c r="F28" s="5" t="s">
        <v>388</v>
      </c>
      <c r="G28" s="5" t="s">
        <v>246</v>
      </c>
      <c r="H28" s="5" t="s">
        <v>87</v>
      </c>
      <c r="I28" s="5" t="s">
        <v>389</v>
      </c>
      <c r="J28" s="5" t="s">
        <v>390</v>
      </c>
      <c r="K28" s="5" t="s">
        <v>391</v>
      </c>
      <c r="L28" s="5" t="s">
        <v>392</v>
      </c>
      <c r="M28" s="5" t="s">
        <v>393</v>
      </c>
      <c r="N28" s="5" t="s">
        <v>394</v>
      </c>
      <c r="O28" s="5" t="s">
        <v>395</v>
      </c>
    </row>
    <row r="29" spans="1:15" ht="28.5" customHeight="1" x14ac:dyDescent="0.35">
      <c r="A29" s="5" t="s">
        <v>396</v>
      </c>
      <c r="B29" s="5" t="s">
        <v>59</v>
      </c>
      <c r="C29" s="5" t="s">
        <v>62</v>
      </c>
      <c r="D29" s="5" t="s">
        <v>397</v>
      </c>
      <c r="E29" s="5" t="s">
        <v>58</v>
      </c>
      <c r="F29" s="5" t="s">
        <v>398</v>
      </c>
      <c r="G29" s="5" t="s">
        <v>246</v>
      </c>
      <c r="H29" s="5" t="s">
        <v>181</v>
      </c>
      <c r="I29" s="5" t="s">
        <v>399</v>
      </c>
      <c r="J29" s="5" t="s">
        <v>400</v>
      </c>
      <c r="K29" s="5" t="s">
        <v>362</v>
      </c>
      <c r="L29" s="5" t="s">
        <v>57</v>
      </c>
      <c r="M29" s="5" t="s">
        <v>363</v>
      </c>
      <c r="N29" s="5" t="s">
        <v>401</v>
      </c>
      <c r="O29" s="5" t="s">
        <v>364</v>
      </c>
    </row>
    <row r="30" spans="1:15" ht="42" customHeight="1" x14ac:dyDescent="0.35">
      <c r="A30" s="5" t="s">
        <v>402</v>
      </c>
      <c r="B30" s="5" t="s">
        <v>59</v>
      </c>
      <c r="C30" s="5" t="s">
        <v>61</v>
      </c>
      <c r="D30" s="5" t="s">
        <v>403</v>
      </c>
      <c r="E30" s="5" t="s">
        <v>316</v>
      </c>
      <c r="F30" s="5" t="s">
        <v>404</v>
      </c>
      <c r="G30" s="5" t="s">
        <v>405</v>
      </c>
      <c r="H30" s="5" t="s">
        <v>181</v>
      </c>
      <c r="I30" s="5" t="s">
        <v>406</v>
      </c>
      <c r="J30" s="5" t="s">
        <v>407</v>
      </c>
      <c r="K30" s="5" t="s">
        <v>408</v>
      </c>
      <c r="L30" s="5" t="s">
        <v>57</v>
      </c>
      <c r="M30" s="5" t="s">
        <v>409</v>
      </c>
      <c r="N30" s="5" t="s">
        <v>68</v>
      </c>
      <c r="O30" s="5" t="s">
        <v>410</v>
      </c>
    </row>
    <row r="31" spans="1:15" ht="28.5" customHeight="1" x14ac:dyDescent="0.35">
      <c r="A31" s="5" t="s">
        <v>411</v>
      </c>
      <c r="B31" s="5" t="s">
        <v>59</v>
      </c>
      <c r="C31" s="5" t="s">
        <v>62</v>
      </c>
      <c r="D31" s="5" t="s">
        <v>412</v>
      </c>
      <c r="E31" s="5" t="s">
        <v>58</v>
      </c>
      <c r="F31" s="5" t="s">
        <v>413</v>
      </c>
      <c r="G31" s="5" t="s">
        <v>414</v>
      </c>
      <c r="H31" s="5" t="s">
        <v>87</v>
      </c>
      <c r="I31" s="5" t="s">
        <v>415</v>
      </c>
      <c r="J31" s="5" t="s">
        <v>416</v>
      </c>
      <c r="K31" s="5" t="s">
        <v>417</v>
      </c>
      <c r="L31" s="5" t="s">
        <v>392</v>
      </c>
      <c r="M31" s="5" t="s">
        <v>418</v>
      </c>
      <c r="N31" s="5" t="s">
        <v>68</v>
      </c>
      <c r="O31" s="5" t="s">
        <v>419</v>
      </c>
    </row>
    <row r="32" spans="1:15" ht="42" customHeight="1" x14ac:dyDescent="0.35">
      <c r="A32" s="5" t="s">
        <v>420</v>
      </c>
      <c r="B32" s="5" t="s">
        <v>59</v>
      </c>
      <c r="C32" s="5" t="s">
        <v>61</v>
      </c>
      <c r="D32" s="5" t="s">
        <v>421</v>
      </c>
      <c r="E32" s="5" t="s">
        <v>422</v>
      </c>
      <c r="F32" s="5" t="s">
        <v>423</v>
      </c>
      <c r="G32" s="5" t="s">
        <v>246</v>
      </c>
      <c r="H32" s="5" t="s">
        <v>181</v>
      </c>
      <c r="I32" s="5" t="s">
        <v>424</v>
      </c>
      <c r="J32" s="5" t="s">
        <v>425</v>
      </c>
      <c r="K32" s="5" t="s">
        <v>391</v>
      </c>
      <c r="L32" s="5" t="s">
        <v>392</v>
      </c>
      <c r="M32" s="5" t="s">
        <v>393</v>
      </c>
      <c r="N32" s="5" t="s">
        <v>68</v>
      </c>
      <c r="O32" s="5" t="s">
        <v>395</v>
      </c>
    </row>
    <row r="33" spans="1:15" ht="28.5" customHeight="1" x14ac:dyDescent="0.35">
      <c r="A33" s="5" t="s">
        <v>426</v>
      </c>
      <c r="B33" s="5" t="s">
        <v>59</v>
      </c>
      <c r="C33" s="5" t="s">
        <v>61</v>
      </c>
      <c r="D33" s="5" t="s">
        <v>427</v>
      </c>
      <c r="E33" s="5" t="s">
        <v>58</v>
      </c>
      <c r="F33" s="5" t="s">
        <v>428</v>
      </c>
      <c r="G33" s="5" t="s">
        <v>246</v>
      </c>
      <c r="H33" s="5" t="s">
        <v>181</v>
      </c>
      <c r="I33" s="5" t="s">
        <v>429</v>
      </c>
      <c r="J33" s="5" t="s">
        <v>246</v>
      </c>
      <c r="K33" s="5" t="s">
        <v>376</v>
      </c>
      <c r="L33" s="5" t="s">
        <v>57</v>
      </c>
      <c r="M33" s="5" t="s">
        <v>377</v>
      </c>
      <c r="N33" s="5" t="s">
        <v>68</v>
      </c>
      <c r="O33" s="5" t="s">
        <v>378</v>
      </c>
    </row>
    <row r="34" spans="1:15" ht="42" customHeight="1" x14ac:dyDescent="0.35">
      <c r="A34" s="5" t="s">
        <v>430</v>
      </c>
      <c r="B34" s="5" t="s">
        <v>431</v>
      </c>
      <c r="C34" s="5" t="s">
        <v>61</v>
      </c>
      <c r="D34" s="5" t="s">
        <v>432</v>
      </c>
      <c r="E34" s="5" t="s">
        <v>79</v>
      </c>
      <c r="F34" s="5" t="s">
        <v>433</v>
      </c>
      <c r="G34" s="5" t="s">
        <v>434</v>
      </c>
      <c r="H34" s="5" t="s">
        <v>181</v>
      </c>
      <c r="I34" s="5" t="s">
        <v>435</v>
      </c>
      <c r="J34" s="5" t="s">
        <v>436</v>
      </c>
      <c r="K34" s="5" t="s">
        <v>437</v>
      </c>
      <c r="L34" s="5" t="s">
        <v>438</v>
      </c>
      <c r="M34" s="5" t="s">
        <v>439</v>
      </c>
      <c r="N34" s="5" t="s">
        <v>68</v>
      </c>
      <c r="O34" s="5" t="s">
        <v>440</v>
      </c>
    </row>
    <row r="35" spans="1:15" ht="42" customHeight="1" x14ac:dyDescent="0.35">
      <c r="A35" s="5" t="s">
        <v>441</v>
      </c>
      <c r="B35" s="5" t="s">
        <v>431</v>
      </c>
      <c r="C35" s="5" t="s">
        <v>62</v>
      </c>
      <c r="D35" s="5" t="s">
        <v>442</v>
      </c>
      <c r="E35" s="5" t="s">
        <v>79</v>
      </c>
      <c r="F35" s="5" t="s">
        <v>443</v>
      </c>
      <c r="G35" s="5" t="s">
        <v>444</v>
      </c>
      <c r="H35" s="5" t="s">
        <v>87</v>
      </c>
      <c r="I35" s="5" t="s">
        <v>445</v>
      </c>
      <c r="J35" s="5" t="s">
        <v>446</v>
      </c>
      <c r="K35" s="5" t="s">
        <v>437</v>
      </c>
      <c r="L35" s="5" t="s">
        <v>438</v>
      </c>
      <c r="M35" s="5" t="s">
        <v>439</v>
      </c>
      <c r="N35" s="5" t="s">
        <v>447</v>
      </c>
      <c r="O35" s="5" t="s">
        <v>440</v>
      </c>
    </row>
    <row r="36" spans="1:15" ht="28.5" customHeight="1" x14ac:dyDescent="0.35">
      <c r="A36" s="5" t="s">
        <v>448</v>
      </c>
      <c r="B36" s="5" t="s">
        <v>431</v>
      </c>
      <c r="C36" s="5" t="s">
        <v>63</v>
      </c>
      <c r="D36" s="5" t="s">
        <v>449</v>
      </c>
      <c r="E36" s="5" t="s">
        <v>79</v>
      </c>
      <c r="F36" s="5" t="s">
        <v>450</v>
      </c>
      <c r="G36" s="5" t="s">
        <v>451</v>
      </c>
      <c r="H36" s="5" t="s">
        <v>181</v>
      </c>
      <c r="I36" s="5" t="s">
        <v>452</v>
      </c>
      <c r="J36" s="5" t="s">
        <v>453</v>
      </c>
      <c r="K36" s="5" t="s">
        <v>437</v>
      </c>
      <c r="L36" s="5" t="s">
        <v>438</v>
      </c>
      <c r="M36" s="5" t="s">
        <v>439</v>
      </c>
      <c r="N36" s="5" t="s">
        <v>68</v>
      </c>
      <c r="O36" s="5" t="s">
        <v>440</v>
      </c>
    </row>
    <row r="37" spans="1:15" ht="28.5" customHeight="1" x14ac:dyDescent="0.35">
      <c r="A37" s="5" t="s">
        <v>454</v>
      </c>
      <c r="B37" s="5" t="s">
        <v>431</v>
      </c>
      <c r="C37" s="5" t="s">
        <v>61</v>
      </c>
      <c r="D37" s="5" t="s">
        <v>455</v>
      </c>
      <c r="E37" s="5" t="s">
        <v>79</v>
      </c>
      <c r="F37" s="5" t="s">
        <v>456</v>
      </c>
      <c r="G37" s="5" t="s">
        <v>457</v>
      </c>
      <c r="H37" s="5" t="s">
        <v>181</v>
      </c>
      <c r="I37" s="5" t="s">
        <v>458</v>
      </c>
      <c r="J37" s="5" t="s">
        <v>246</v>
      </c>
      <c r="K37" s="5" t="s">
        <v>459</v>
      </c>
      <c r="L37" s="5" t="s">
        <v>438</v>
      </c>
      <c r="M37" s="5" t="s">
        <v>460</v>
      </c>
      <c r="N37" s="5" t="s">
        <v>68</v>
      </c>
      <c r="O37" s="5" t="s">
        <v>461</v>
      </c>
    </row>
    <row r="38" spans="1:15" ht="28.5" customHeight="1" x14ac:dyDescent="0.35">
      <c r="A38" s="5" t="s">
        <v>462</v>
      </c>
      <c r="B38" s="5" t="s">
        <v>431</v>
      </c>
      <c r="C38" s="5" t="s">
        <v>61</v>
      </c>
      <c r="D38" s="5" t="s">
        <v>463</v>
      </c>
      <c r="E38" s="5" t="s">
        <v>79</v>
      </c>
      <c r="F38" s="5" t="s">
        <v>464</v>
      </c>
      <c r="G38" s="5" t="s">
        <v>457</v>
      </c>
      <c r="H38" s="5" t="s">
        <v>181</v>
      </c>
      <c r="I38" s="5" t="s">
        <v>465</v>
      </c>
      <c r="J38" s="5" t="s">
        <v>246</v>
      </c>
      <c r="K38" s="5" t="s">
        <v>466</v>
      </c>
      <c r="L38" s="5" t="s">
        <v>438</v>
      </c>
      <c r="M38" s="5" t="s">
        <v>467</v>
      </c>
      <c r="N38" s="5" t="s">
        <v>68</v>
      </c>
      <c r="O38" s="5" t="s">
        <v>468</v>
      </c>
    </row>
    <row r="39" spans="1:15" ht="28.5" customHeight="1" x14ac:dyDescent="0.35">
      <c r="A39" s="5" t="s">
        <v>469</v>
      </c>
      <c r="B39" s="5" t="s">
        <v>431</v>
      </c>
      <c r="C39" s="5" t="s">
        <v>61</v>
      </c>
      <c r="D39" s="5" t="s">
        <v>470</v>
      </c>
      <c r="E39" s="5" t="s">
        <v>79</v>
      </c>
      <c r="F39" s="5" t="s">
        <v>471</v>
      </c>
      <c r="G39" s="5" t="s">
        <v>457</v>
      </c>
      <c r="H39" s="5" t="s">
        <v>181</v>
      </c>
      <c r="I39" s="5" t="s">
        <v>472</v>
      </c>
      <c r="J39" s="5" t="s">
        <v>246</v>
      </c>
      <c r="K39" s="5" t="s">
        <v>473</v>
      </c>
      <c r="L39" s="5" t="s">
        <v>438</v>
      </c>
      <c r="M39" s="5" t="s">
        <v>474</v>
      </c>
      <c r="N39" s="5" t="s">
        <v>68</v>
      </c>
      <c r="O39" s="5" t="s">
        <v>475</v>
      </c>
    </row>
    <row r="40" spans="1:15" ht="42" customHeight="1" x14ac:dyDescent="0.35">
      <c r="A40" s="5" t="s">
        <v>476</v>
      </c>
      <c r="B40" s="5" t="s">
        <v>431</v>
      </c>
      <c r="C40" s="5" t="s">
        <v>62</v>
      </c>
      <c r="D40" s="5" t="s">
        <v>477</v>
      </c>
      <c r="E40" s="5" t="s">
        <v>79</v>
      </c>
      <c r="F40" s="5" t="s">
        <v>478</v>
      </c>
      <c r="G40" s="5" t="s">
        <v>479</v>
      </c>
      <c r="H40" s="5" t="s">
        <v>87</v>
      </c>
      <c r="I40" s="5" t="s">
        <v>480</v>
      </c>
      <c r="J40" s="5" t="s">
        <v>481</v>
      </c>
      <c r="K40" s="5" t="s">
        <v>459</v>
      </c>
      <c r="L40" s="5" t="s">
        <v>438</v>
      </c>
      <c r="M40" s="5" t="s">
        <v>460</v>
      </c>
      <c r="N40" s="5" t="s">
        <v>68</v>
      </c>
      <c r="O40" s="5" t="s">
        <v>461</v>
      </c>
    </row>
    <row r="41" spans="1:15" ht="42" customHeight="1" x14ac:dyDescent="0.35">
      <c r="A41" s="5" t="s">
        <v>482</v>
      </c>
      <c r="B41" s="5" t="s">
        <v>431</v>
      </c>
      <c r="C41" s="5" t="s">
        <v>62</v>
      </c>
      <c r="D41" s="5" t="s">
        <v>483</v>
      </c>
      <c r="E41" s="5" t="s">
        <v>79</v>
      </c>
      <c r="F41" s="5" t="s">
        <v>484</v>
      </c>
      <c r="G41" s="5" t="s">
        <v>485</v>
      </c>
      <c r="H41" s="5" t="s">
        <v>87</v>
      </c>
      <c r="I41" s="5" t="s">
        <v>486</v>
      </c>
      <c r="J41" s="5" t="s">
        <v>487</v>
      </c>
      <c r="K41" s="5" t="s">
        <v>466</v>
      </c>
      <c r="L41" s="5" t="s">
        <v>438</v>
      </c>
      <c r="M41" s="5" t="s">
        <v>467</v>
      </c>
      <c r="N41" s="5" t="s">
        <v>68</v>
      </c>
      <c r="O41" s="5" t="s">
        <v>468</v>
      </c>
    </row>
    <row r="42" spans="1:15" ht="28.5" customHeight="1" x14ac:dyDescent="0.35">
      <c r="A42" s="5" t="s">
        <v>488</v>
      </c>
      <c r="B42" s="5" t="s">
        <v>431</v>
      </c>
      <c r="C42" s="5" t="s">
        <v>61</v>
      </c>
      <c r="D42" s="5" t="s">
        <v>489</v>
      </c>
      <c r="E42" s="5" t="s">
        <v>490</v>
      </c>
      <c r="F42" s="5" t="s">
        <v>491</v>
      </c>
      <c r="G42" s="5" t="s">
        <v>246</v>
      </c>
      <c r="H42" s="5" t="s">
        <v>181</v>
      </c>
      <c r="I42" s="5" t="s">
        <v>492</v>
      </c>
      <c r="J42" s="5" t="s">
        <v>493</v>
      </c>
      <c r="K42" s="5" t="s">
        <v>466</v>
      </c>
      <c r="L42" s="5" t="s">
        <v>438</v>
      </c>
      <c r="M42" s="5" t="s">
        <v>467</v>
      </c>
      <c r="N42" s="5" t="s">
        <v>68</v>
      </c>
      <c r="O42" s="5" t="s">
        <v>468</v>
      </c>
    </row>
    <row r="43" spans="1:15" ht="42" customHeight="1" x14ac:dyDescent="0.35">
      <c r="A43" s="5" t="s">
        <v>494</v>
      </c>
      <c r="B43" s="5" t="s">
        <v>431</v>
      </c>
      <c r="C43" s="5" t="s">
        <v>62</v>
      </c>
      <c r="D43" s="5" t="s">
        <v>495</v>
      </c>
      <c r="E43" s="5" t="s">
        <v>79</v>
      </c>
      <c r="F43" s="5" t="s">
        <v>496</v>
      </c>
      <c r="G43" s="5" t="s">
        <v>497</v>
      </c>
      <c r="H43" s="5" t="s">
        <v>87</v>
      </c>
      <c r="I43" s="5" t="s">
        <v>498</v>
      </c>
      <c r="J43" s="5" t="s">
        <v>499</v>
      </c>
      <c r="K43" s="5" t="s">
        <v>473</v>
      </c>
      <c r="L43" s="5" t="s">
        <v>438</v>
      </c>
      <c r="M43" s="5" t="s">
        <v>474</v>
      </c>
      <c r="N43" s="5" t="s">
        <v>68</v>
      </c>
      <c r="O43" s="5" t="s">
        <v>475</v>
      </c>
    </row>
    <row r="44" spans="1:15" ht="28.5" customHeight="1" x14ac:dyDescent="0.35">
      <c r="A44" s="5" t="s">
        <v>500</v>
      </c>
      <c r="B44" s="5" t="s">
        <v>431</v>
      </c>
      <c r="C44" s="5" t="s">
        <v>62</v>
      </c>
      <c r="D44" s="5" t="s">
        <v>501</v>
      </c>
      <c r="E44" s="5" t="s">
        <v>79</v>
      </c>
      <c r="F44" s="5" t="s">
        <v>502</v>
      </c>
      <c r="G44" s="5" t="s">
        <v>503</v>
      </c>
      <c r="H44" s="5" t="s">
        <v>87</v>
      </c>
      <c r="I44" s="5" t="s">
        <v>504</v>
      </c>
      <c r="J44" s="5" t="s">
        <v>278</v>
      </c>
      <c r="K44" s="5" t="s">
        <v>505</v>
      </c>
      <c r="L44" s="5" t="s">
        <v>438</v>
      </c>
      <c r="M44" s="5" t="s">
        <v>506</v>
      </c>
      <c r="N44" s="5" t="s">
        <v>68</v>
      </c>
      <c r="O44" s="5" t="s">
        <v>507</v>
      </c>
    </row>
    <row r="45" spans="1:15" ht="42" customHeight="1" x14ac:dyDescent="0.35">
      <c r="A45" s="5" t="s">
        <v>508</v>
      </c>
      <c r="B45" s="5" t="s">
        <v>431</v>
      </c>
      <c r="C45" s="5" t="s">
        <v>61</v>
      </c>
      <c r="D45" s="5" t="s">
        <v>509</v>
      </c>
      <c r="E45" s="5" t="s">
        <v>79</v>
      </c>
      <c r="F45" s="5" t="s">
        <v>510</v>
      </c>
      <c r="G45" s="5" t="s">
        <v>271</v>
      </c>
      <c r="H45" s="5" t="s">
        <v>181</v>
      </c>
      <c r="I45" s="5" t="s">
        <v>511</v>
      </c>
      <c r="J45" s="5" t="s">
        <v>248</v>
      </c>
      <c r="K45" s="5" t="s">
        <v>512</v>
      </c>
      <c r="L45" s="5" t="s">
        <v>513</v>
      </c>
      <c r="M45" s="5" t="s">
        <v>514</v>
      </c>
      <c r="N45" s="5" t="s">
        <v>257</v>
      </c>
      <c r="O45" s="5" t="s">
        <v>515</v>
      </c>
    </row>
    <row r="46" spans="1:15" ht="42" customHeight="1" x14ac:dyDescent="0.35">
      <c r="A46" s="5" t="s">
        <v>516</v>
      </c>
      <c r="B46" s="5" t="s">
        <v>431</v>
      </c>
      <c r="C46" s="5" t="s">
        <v>62</v>
      </c>
      <c r="D46" s="5" t="s">
        <v>517</v>
      </c>
      <c r="E46" s="5" t="s">
        <v>79</v>
      </c>
      <c r="F46" s="5" t="s">
        <v>518</v>
      </c>
      <c r="G46" s="5" t="s">
        <v>519</v>
      </c>
      <c r="H46" s="5" t="s">
        <v>87</v>
      </c>
      <c r="I46" s="5" t="s">
        <v>520</v>
      </c>
      <c r="J46" s="5" t="s">
        <v>521</v>
      </c>
      <c r="K46" s="5" t="s">
        <v>522</v>
      </c>
      <c r="L46" s="5" t="s">
        <v>523</v>
      </c>
      <c r="M46" s="5" t="s">
        <v>524</v>
      </c>
      <c r="N46" s="5" t="s">
        <v>525</v>
      </c>
      <c r="O46" s="5" t="s">
        <v>526</v>
      </c>
    </row>
    <row r="47" spans="1:15" ht="42" customHeight="1" x14ac:dyDescent="0.35">
      <c r="A47" s="5" t="s">
        <v>527</v>
      </c>
      <c r="B47" s="5" t="s">
        <v>431</v>
      </c>
      <c r="C47" s="5" t="s">
        <v>61</v>
      </c>
      <c r="D47" s="5" t="s">
        <v>528</v>
      </c>
      <c r="E47" s="5" t="s">
        <v>79</v>
      </c>
      <c r="F47" s="5" t="s">
        <v>529</v>
      </c>
      <c r="G47" s="5" t="s">
        <v>246</v>
      </c>
      <c r="H47" s="5" t="s">
        <v>181</v>
      </c>
      <c r="I47" s="5" t="s">
        <v>530</v>
      </c>
      <c r="J47" s="5" t="s">
        <v>425</v>
      </c>
      <c r="K47" s="5" t="s">
        <v>531</v>
      </c>
      <c r="L47" s="5" t="s">
        <v>513</v>
      </c>
      <c r="M47" s="5" t="s">
        <v>532</v>
      </c>
      <c r="N47" s="5" t="s">
        <v>257</v>
      </c>
      <c r="O47" s="5" t="s">
        <v>533</v>
      </c>
    </row>
    <row r="48" spans="1:15" ht="28.5" customHeight="1" x14ac:dyDescent="0.35">
      <c r="A48" s="5" t="s">
        <v>534</v>
      </c>
      <c r="B48" s="5" t="s">
        <v>431</v>
      </c>
      <c r="C48" s="5" t="s">
        <v>62</v>
      </c>
      <c r="D48" s="5" t="s">
        <v>535</v>
      </c>
      <c r="E48" s="5" t="s">
        <v>79</v>
      </c>
      <c r="F48" s="5" t="s">
        <v>536</v>
      </c>
      <c r="G48" s="5" t="s">
        <v>246</v>
      </c>
      <c r="H48" s="5" t="s">
        <v>181</v>
      </c>
      <c r="I48" s="5" t="s">
        <v>537</v>
      </c>
      <c r="J48" s="5" t="s">
        <v>538</v>
      </c>
      <c r="K48" s="5" t="s">
        <v>437</v>
      </c>
      <c r="L48" s="5" t="s">
        <v>438</v>
      </c>
      <c r="M48" s="5" t="s">
        <v>439</v>
      </c>
      <c r="N48" s="5" t="s">
        <v>539</v>
      </c>
      <c r="O48" s="5" t="s">
        <v>440</v>
      </c>
    </row>
    <row r="49" spans="1:15" ht="42" customHeight="1" x14ac:dyDescent="0.35">
      <c r="A49" s="5" t="s">
        <v>540</v>
      </c>
      <c r="B49" s="5" t="s">
        <v>541</v>
      </c>
      <c r="C49" s="5" t="s">
        <v>61</v>
      </c>
      <c r="D49" s="5" t="s">
        <v>542</v>
      </c>
      <c r="E49" s="5" t="s">
        <v>81</v>
      </c>
      <c r="F49" s="5" t="s">
        <v>543</v>
      </c>
      <c r="G49" s="5" t="s">
        <v>544</v>
      </c>
      <c r="H49" s="5" t="s">
        <v>181</v>
      </c>
      <c r="I49" s="5" t="s">
        <v>545</v>
      </c>
      <c r="J49" s="5" t="s">
        <v>246</v>
      </c>
      <c r="K49" s="5" t="s">
        <v>546</v>
      </c>
      <c r="L49" s="5" t="s">
        <v>547</v>
      </c>
      <c r="M49" s="5" t="s">
        <v>548</v>
      </c>
      <c r="N49" s="5" t="s">
        <v>68</v>
      </c>
      <c r="O49" s="5" t="s">
        <v>549</v>
      </c>
    </row>
    <row r="50" spans="1:15" ht="42" customHeight="1" x14ac:dyDescent="0.35">
      <c r="A50" s="5" t="s">
        <v>550</v>
      </c>
      <c r="B50" s="5" t="s">
        <v>541</v>
      </c>
      <c r="C50" s="5" t="s">
        <v>61</v>
      </c>
      <c r="D50" s="5" t="s">
        <v>551</v>
      </c>
      <c r="E50" s="5" t="s">
        <v>81</v>
      </c>
      <c r="F50" s="5" t="s">
        <v>552</v>
      </c>
      <c r="G50" s="5" t="s">
        <v>246</v>
      </c>
      <c r="H50" s="5" t="s">
        <v>181</v>
      </c>
      <c r="I50" s="5" t="s">
        <v>553</v>
      </c>
      <c r="J50" s="5" t="s">
        <v>554</v>
      </c>
      <c r="K50" s="5" t="s">
        <v>546</v>
      </c>
      <c r="L50" s="5" t="s">
        <v>547</v>
      </c>
      <c r="M50" s="5" t="s">
        <v>548</v>
      </c>
      <c r="N50" s="5" t="s">
        <v>68</v>
      </c>
      <c r="O50" s="5" t="s">
        <v>549</v>
      </c>
    </row>
    <row r="51" spans="1:15" ht="28.5" customHeight="1" x14ac:dyDescent="0.35">
      <c r="A51" s="5" t="s">
        <v>555</v>
      </c>
      <c r="B51" s="5" t="s">
        <v>541</v>
      </c>
      <c r="C51" s="5" t="s">
        <v>63</v>
      </c>
      <c r="D51" s="5" t="s">
        <v>556</v>
      </c>
      <c r="E51" s="5" t="s">
        <v>81</v>
      </c>
      <c r="F51" s="5" t="s">
        <v>557</v>
      </c>
      <c r="G51" s="5" t="s">
        <v>558</v>
      </c>
      <c r="H51" s="5" t="s">
        <v>181</v>
      </c>
      <c r="I51" s="5" t="s">
        <v>559</v>
      </c>
      <c r="J51" s="5" t="s">
        <v>560</v>
      </c>
      <c r="K51" s="5" t="s">
        <v>561</v>
      </c>
      <c r="L51" s="5" t="s">
        <v>547</v>
      </c>
      <c r="M51" s="5" t="s">
        <v>562</v>
      </c>
      <c r="N51" s="5" t="s">
        <v>563</v>
      </c>
      <c r="O51" s="5" t="s">
        <v>564</v>
      </c>
    </row>
    <row r="52" spans="1:15" ht="42" customHeight="1" x14ac:dyDescent="0.35">
      <c r="A52" s="5" t="s">
        <v>565</v>
      </c>
      <c r="B52" s="5" t="s">
        <v>541</v>
      </c>
      <c r="C52" s="5" t="s">
        <v>62</v>
      </c>
      <c r="D52" s="5" t="s">
        <v>566</v>
      </c>
      <c r="E52" s="5" t="s">
        <v>81</v>
      </c>
      <c r="F52" s="5" t="s">
        <v>567</v>
      </c>
      <c r="G52" s="5" t="s">
        <v>568</v>
      </c>
      <c r="H52" s="5" t="s">
        <v>87</v>
      </c>
      <c r="I52" s="5" t="s">
        <v>569</v>
      </c>
      <c r="J52" s="5" t="s">
        <v>570</v>
      </c>
      <c r="K52" s="5" t="s">
        <v>571</v>
      </c>
      <c r="L52" s="5" t="s">
        <v>547</v>
      </c>
      <c r="M52" s="5" t="s">
        <v>572</v>
      </c>
      <c r="N52" s="5" t="s">
        <v>573</v>
      </c>
      <c r="O52" s="5" t="s">
        <v>574</v>
      </c>
    </row>
    <row r="53" spans="1:15" ht="42" customHeight="1" x14ac:dyDescent="0.35">
      <c r="A53" s="5" t="s">
        <v>575</v>
      </c>
      <c r="B53" s="5" t="s">
        <v>541</v>
      </c>
      <c r="C53" s="5" t="s">
        <v>62</v>
      </c>
      <c r="D53" s="5" t="s">
        <v>576</v>
      </c>
      <c r="E53" s="5" t="s">
        <v>577</v>
      </c>
      <c r="F53" s="5" t="s">
        <v>578</v>
      </c>
      <c r="G53" s="5" t="s">
        <v>246</v>
      </c>
      <c r="H53" s="5" t="s">
        <v>181</v>
      </c>
      <c r="I53" s="5" t="s">
        <v>579</v>
      </c>
      <c r="J53" s="5" t="s">
        <v>580</v>
      </c>
      <c r="K53" s="5" t="s">
        <v>581</v>
      </c>
      <c r="L53" s="5" t="s">
        <v>582</v>
      </c>
      <c r="M53" s="5" t="s">
        <v>583</v>
      </c>
      <c r="N53" s="5" t="s">
        <v>584</v>
      </c>
      <c r="O53" s="5" t="s">
        <v>585</v>
      </c>
    </row>
    <row r="54" spans="1:15" ht="42" customHeight="1" x14ac:dyDescent="0.35">
      <c r="A54" s="5" t="s">
        <v>586</v>
      </c>
      <c r="B54" s="5" t="s">
        <v>541</v>
      </c>
      <c r="C54" s="5" t="s">
        <v>61</v>
      </c>
      <c r="D54" s="5" t="s">
        <v>587</v>
      </c>
      <c r="E54" s="5" t="s">
        <v>588</v>
      </c>
      <c r="F54" s="5" t="s">
        <v>589</v>
      </c>
      <c r="G54" s="5" t="s">
        <v>246</v>
      </c>
      <c r="H54" s="5" t="s">
        <v>181</v>
      </c>
      <c r="I54" s="5" t="s">
        <v>590</v>
      </c>
      <c r="J54" s="5" t="s">
        <v>591</v>
      </c>
      <c r="K54" s="5" t="s">
        <v>592</v>
      </c>
      <c r="L54" s="5" t="s">
        <v>547</v>
      </c>
      <c r="M54" s="5" t="s">
        <v>593</v>
      </c>
      <c r="N54" s="5" t="s">
        <v>257</v>
      </c>
      <c r="O54" s="5" t="s">
        <v>594</v>
      </c>
    </row>
    <row r="55" spans="1:15" ht="28.5" customHeight="1" x14ac:dyDescent="0.35">
      <c r="A55" s="5" t="s">
        <v>595</v>
      </c>
      <c r="B55" s="5" t="s">
        <v>541</v>
      </c>
      <c r="C55" s="5" t="s">
        <v>61</v>
      </c>
      <c r="D55" s="5" t="s">
        <v>596</v>
      </c>
      <c r="E55" s="5" t="s">
        <v>597</v>
      </c>
      <c r="F55" s="5" t="s">
        <v>598</v>
      </c>
      <c r="G55" s="5" t="s">
        <v>246</v>
      </c>
      <c r="H55" s="5" t="s">
        <v>181</v>
      </c>
      <c r="I55" s="5" t="s">
        <v>599</v>
      </c>
      <c r="J55" s="5" t="s">
        <v>554</v>
      </c>
      <c r="K55" s="5" t="s">
        <v>561</v>
      </c>
      <c r="L55" s="5" t="s">
        <v>547</v>
      </c>
      <c r="M55" s="5" t="s">
        <v>562</v>
      </c>
      <c r="N55" s="5" t="s">
        <v>68</v>
      </c>
      <c r="O55" s="5" t="s">
        <v>564</v>
      </c>
    </row>
    <row r="56" spans="1:15" ht="28.5" customHeight="1" x14ac:dyDescent="0.35">
      <c r="A56" s="5" t="s">
        <v>600</v>
      </c>
      <c r="B56" s="5" t="s">
        <v>541</v>
      </c>
      <c r="C56" s="5" t="s">
        <v>62</v>
      </c>
      <c r="D56" s="5" t="s">
        <v>601</v>
      </c>
      <c r="E56" s="5" t="s">
        <v>84</v>
      </c>
      <c r="F56" s="5" t="s">
        <v>602</v>
      </c>
      <c r="G56" s="5" t="s">
        <v>603</v>
      </c>
      <c r="H56" s="5" t="s">
        <v>87</v>
      </c>
      <c r="I56" s="5" t="s">
        <v>604</v>
      </c>
      <c r="J56" s="5" t="s">
        <v>605</v>
      </c>
      <c r="K56" s="5" t="s">
        <v>606</v>
      </c>
      <c r="L56" s="5" t="s">
        <v>304</v>
      </c>
      <c r="M56" s="5" t="s">
        <v>607</v>
      </c>
      <c r="N56" s="5" t="s">
        <v>306</v>
      </c>
      <c r="O56" s="5" t="s">
        <v>608</v>
      </c>
    </row>
    <row r="57" spans="1:15" ht="28.5" customHeight="1" x14ac:dyDescent="0.35">
      <c r="A57" s="5" t="s">
        <v>609</v>
      </c>
      <c r="B57" s="5" t="s">
        <v>541</v>
      </c>
      <c r="C57" s="5" t="s">
        <v>63</v>
      </c>
      <c r="D57" s="5" t="s">
        <v>610</v>
      </c>
      <c r="E57" s="5" t="s">
        <v>84</v>
      </c>
      <c r="F57" s="5" t="s">
        <v>611</v>
      </c>
      <c r="G57" s="5" t="s">
        <v>612</v>
      </c>
      <c r="H57" s="5" t="s">
        <v>181</v>
      </c>
      <c r="I57" s="5" t="s">
        <v>613</v>
      </c>
      <c r="J57" s="5" t="s">
        <v>614</v>
      </c>
      <c r="K57" s="5" t="s">
        <v>606</v>
      </c>
      <c r="L57" s="5" t="s">
        <v>304</v>
      </c>
      <c r="M57" s="5" t="s">
        <v>607</v>
      </c>
      <c r="N57" s="5" t="s">
        <v>314</v>
      </c>
      <c r="O57" s="5" t="s">
        <v>608</v>
      </c>
    </row>
    <row r="58" spans="1:15" ht="28.5" customHeight="1" x14ac:dyDescent="0.35">
      <c r="A58" s="5" t="s">
        <v>615</v>
      </c>
      <c r="B58" s="5" t="s">
        <v>541</v>
      </c>
      <c r="C58" s="5" t="s">
        <v>61</v>
      </c>
      <c r="D58" s="5" t="s">
        <v>601</v>
      </c>
      <c r="E58" s="5" t="s">
        <v>616</v>
      </c>
      <c r="F58" s="5" t="s">
        <v>617</v>
      </c>
      <c r="G58" s="5" t="s">
        <v>618</v>
      </c>
      <c r="H58" s="5" t="s">
        <v>181</v>
      </c>
      <c r="I58" s="5" t="s">
        <v>619</v>
      </c>
      <c r="J58" s="5" t="s">
        <v>246</v>
      </c>
      <c r="K58" s="5" t="s">
        <v>606</v>
      </c>
      <c r="L58" s="5" t="s">
        <v>304</v>
      </c>
      <c r="M58" s="5" t="s">
        <v>607</v>
      </c>
      <c r="N58" s="5" t="s">
        <v>68</v>
      </c>
      <c r="O58" s="5" t="s">
        <v>608</v>
      </c>
    </row>
    <row r="59" spans="1:15" ht="28.5" customHeight="1" x14ac:dyDescent="0.35">
      <c r="A59" s="5" t="s">
        <v>620</v>
      </c>
      <c r="B59" s="5" t="s">
        <v>56</v>
      </c>
      <c r="C59" s="5" t="s">
        <v>62</v>
      </c>
      <c r="D59" s="5" t="s">
        <v>621</v>
      </c>
      <c r="E59" s="5" t="s">
        <v>84</v>
      </c>
      <c r="F59" s="5" t="s">
        <v>622</v>
      </c>
      <c r="G59" s="5" t="s">
        <v>623</v>
      </c>
      <c r="H59" s="5" t="s">
        <v>87</v>
      </c>
      <c r="I59" s="5" t="s">
        <v>624</v>
      </c>
      <c r="J59" s="5" t="s">
        <v>625</v>
      </c>
      <c r="K59" s="5" t="s">
        <v>626</v>
      </c>
      <c r="L59" s="5" t="s">
        <v>304</v>
      </c>
      <c r="M59" s="5" t="s">
        <v>627</v>
      </c>
      <c r="N59" s="5" t="s">
        <v>306</v>
      </c>
      <c r="O59" s="5" t="s">
        <v>628</v>
      </c>
    </row>
    <row r="60" spans="1:15" ht="28.5" customHeight="1" x14ac:dyDescent="0.35">
      <c r="A60" s="5" t="s">
        <v>629</v>
      </c>
      <c r="B60" s="5" t="s">
        <v>56</v>
      </c>
      <c r="C60" s="5" t="s">
        <v>63</v>
      </c>
      <c r="D60" s="5" t="s">
        <v>630</v>
      </c>
      <c r="E60" s="5" t="s">
        <v>84</v>
      </c>
      <c r="F60" s="5" t="s">
        <v>631</v>
      </c>
      <c r="G60" s="5" t="s">
        <v>632</v>
      </c>
      <c r="H60" s="5" t="s">
        <v>181</v>
      </c>
      <c r="I60" s="5" t="s">
        <v>633</v>
      </c>
      <c r="J60" s="5" t="s">
        <v>634</v>
      </c>
      <c r="K60" s="5" t="s">
        <v>626</v>
      </c>
      <c r="L60" s="5" t="s">
        <v>304</v>
      </c>
      <c r="M60" s="5" t="s">
        <v>627</v>
      </c>
      <c r="N60" s="5" t="s">
        <v>314</v>
      </c>
      <c r="O60" s="5" t="s">
        <v>628</v>
      </c>
    </row>
    <row r="61" spans="1:15" ht="28.5" customHeight="1" x14ac:dyDescent="0.35">
      <c r="A61" s="5" t="s">
        <v>635</v>
      </c>
      <c r="B61" s="5" t="s">
        <v>56</v>
      </c>
      <c r="C61" s="5" t="s">
        <v>61</v>
      </c>
      <c r="D61" s="5" t="s">
        <v>621</v>
      </c>
      <c r="E61" s="5" t="s">
        <v>636</v>
      </c>
      <c r="F61" s="5" t="s">
        <v>637</v>
      </c>
      <c r="G61" s="5" t="s">
        <v>638</v>
      </c>
      <c r="H61" s="5" t="s">
        <v>181</v>
      </c>
      <c r="I61" s="5" t="s">
        <v>639</v>
      </c>
      <c r="J61" s="5" t="s">
        <v>246</v>
      </c>
      <c r="K61" s="5" t="s">
        <v>626</v>
      </c>
      <c r="L61" s="5" t="s">
        <v>304</v>
      </c>
      <c r="M61" s="5" t="s">
        <v>627</v>
      </c>
      <c r="N61" s="5" t="s">
        <v>68</v>
      </c>
      <c r="O61" s="5" t="s">
        <v>628</v>
      </c>
    </row>
    <row r="62" spans="1:15" ht="42" customHeight="1" x14ac:dyDescent="0.35">
      <c r="A62" s="5" t="s">
        <v>640</v>
      </c>
      <c r="B62" s="5" t="s">
        <v>56</v>
      </c>
      <c r="C62" s="5" t="s">
        <v>62</v>
      </c>
      <c r="D62" s="5" t="s">
        <v>641</v>
      </c>
      <c r="E62" s="5" t="s">
        <v>55</v>
      </c>
      <c r="F62" s="5" t="s">
        <v>642</v>
      </c>
      <c r="G62" s="5" t="s">
        <v>444</v>
      </c>
      <c r="H62" s="5" t="s">
        <v>87</v>
      </c>
      <c r="I62" s="5" t="s">
        <v>643</v>
      </c>
      <c r="J62" s="5" t="s">
        <v>644</v>
      </c>
      <c r="K62" s="5" t="s">
        <v>106</v>
      </c>
      <c r="L62" s="5" t="s">
        <v>645</v>
      </c>
      <c r="M62" s="5" t="s">
        <v>646</v>
      </c>
      <c r="N62" s="5" t="s">
        <v>647</v>
      </c>
      <c r="O62" s="5" t="s">
        <v>108</v>
      </c>
    </row>
    <row r="63" spans="1:15" ht="54.75" customHeight="1" x14ac:dyDescent="0.35">
      <c r="A63" s="5" t="s">
        <v>66</v>
      </c>
      <c r="B63" s="5" t="s">
        <v>56</v>
      </c>
      <c r="C63" s="5" t="s">
        <v>61</v>
      </c>
      <c r="D63" s="5" t="s">
        <v>67</v>
      </c>
      <c r="E63" s="5" t="s">
        <v>78</v>
      </c>
      <c r="F63" s="5" t="s">
        <v>648</v>
      </c>
      <c r="G63" s="5" t="s">
        <v>246</v>
      </c>
      <c r="H63" s="5" t="s">
        <v>181</v>
      </c>
      <c r="I63" s="5" t="s">
        <v>649</v>
      </c>
      <c r="J63" s="5" t="s">
        <v>650</v>
      </c>
      <c r="K63" s="5" t="s">
        <v>106</v>
      </c>
      <c r="L63" s="5" t="s">
        <v>54</v>
      </c>
      <c r="M63" s="5" t="s">
        <v>107</v>
      </c>
      <c r="N63" s="5" t="s">
        <v>68</v>
      </c>
      <c r="O63" s="5" t="s">
        <v>108</v>
      </c>
    </row>
    <row r="64" spans="1:15" ht="42" customHeight="1" x14ac:dyDescent="0.35">
      <c r="A64" s="5" t="s">
        <v>651</v>
      </c>
      <c r="B64" s="5" t="s">
        <v>56</v>
      </c>
      <c r="C64" s="5" t="s">
        <v>61</v>
      </c>
      <c r="D64" s="5" t="s">
        <v>641</v>
      </c>
      <c r="E64" s="5" t="s">
        <v>78</v>
      </c>
      <c r="F64" s="5" t="s">
        <v>652</v>
      </c>
      <c r="G64" s="5" t="s">
        <v>653</v>
      </c>
      <c r="H64" s="5" t="s">
        <v>181</v>
      </c>
      <c r="I64" s="5" t="s">
        <v>654</v>
      </c>
      <c r="J64" s="5" t="s">
        <v>407</v>
      </c>
      <c r="K64" s="5" t="s">
        <v>106</v>
      </c>
      <c r="L64" s="5" t="s">
        <v>645</v>
      </c>
      <c r="M64" s="5" t="s">
        <v>107</v>
      </c>
      <c r="N64" s="5" t="s">
        <v>68</v>
      </c>
      <c r="O64" s="5" t="s">
        <v>108</v>
      </c>
    </row>
    <row r="65" spans="1:15" ht="28.5" customHeight="1" x14ac:dyDescent="0.35">
      <c r="A65" s="5" t="s">
        <v>655</v>
      </c>
      <c r="B65" s="5" t="s">
        <v>56</v>
      </c>
      <c r="C65" s="5" t="s">
        <v>63</v>
      </c>
      <c r="D65" s="5" t="s">
        <v>656</v>
      </c>
      <c r="E65" s="5" t="s">
        <v>55</v>
      </c>
      <c r="F65" s="5" t="s">
        <v>657</v>
      </c>
      <c r="G65" s="5" t="s">
        <v>658</v>
      </c>
      <c r="H65" s="5" t="s">
        <v>181</v>
      </c>
      <c r="I65" s="5" t="s">
        <v>659</v>
      </c>
      <c r="J65" s="5" t="s">
        <v>660</v>
      </c>
      <c r="K65" s="5" t="s">
        <v>106</v>
      </c>
      <c r="L65" s="5" t="s">
        <v>645</v>
      </c>
      <c r="M65" s="5" t="s">
        <v>107</v>
      </c>
      <c r="N65" s="5" t="s">
        <v>68</v>
      </c>
      <c r="O65" s="5" t="s">
        <v>108</v>
      </c>
    </row>
    <row r="66" spans="1:15" ht="28.5" customHeight="1" x14ac:dyDescent="0.35">
      <c r="A66" s="5" t="s">
        <v>661</v>
      </c>
      <c r="B66" s="5" t="s">
        <v>56</v>
      </c>
      <c r="C66" s="5" t="s">
        <v>62</v>
      </c>
      <c r="D66" s="5" t="s">
        <v>662</v>
      </c>
      <c r="E66" s="5" t="s">
        <v>55</v>
      </c>
      <c r="F66" s="5" t="s">
        <v>663</v>
      </c>
      <c r="G66" s="5" t="s">
        <v>246</v>
      </c>
      <c r="H66" s="5" t="s">
        <v>181</v>
      </c>
      <c r="I66" s="5" t="s">
        <v>664</v>
      </c>
      <c r="J66" s="5" t="s">
        <v>665</v>
      </c>
      <c r="K66" s="5" t="s">
        <v>666</v>
      </c>
      <c r="L66" s="5" t="s">
        <v>645</v>
      </c>
      <c r="M66" s="5" t="s">
        <v>667</v>
      </c>
      <c r="N66" s="5" t="s">
        <v>668</v>
      </c>
      <c r="O66" s="5" t="s">
        <v>669</v>
      </c>
    </row>
    <row r="67" spans="1:15" ht="28.5" customHeight="1" x14ac:dyDescent="0.35">
      <c r="A67" s="5" t="s">
        <v>670</v>
      </c>
      <c r="B67" s="5" t="s">
        <v>56</v>
      </c>
      <c r="C67" s="5" t="s">
        <v>62</v>
      </c>
      <c r="D67" s="5" t="s">
        <v>671</v>
      </c>
      <c r="E67" s="5" t="s">
        <v>55</v>
      </c>
      <c r="F67" s="5" t="s">
        <v>672</v>
      </c>
      <c r="G67" s="5" t="s">
        <v>673</v>
      </c>
      <c r="H67" s="5" t="s">
        <v>181</v>
      </c>
      <c r="I67" s="5" t="s">
        <v>674</v>
      </c>
      <c r="J67" s="5" t="s">
        <v>675</v>
      </c>
      <c r="K67" s="5" t="s">
        <v>666</v>
      </c>
      <c r="L67" s="5" t="s">
        <v>645</v>
      </c>
      <c r="M67" s="5" t="s">
        <v>667</v>
      </c>
      <c r="N67" s="5" t="s">
        <v>676</v>
      </c>
      <c r="O67" s="5" t="s">
        <v>669</v>
      </c>
    </row>
    <row r="68" spans="1:15" ht="54.75" customHeight="1" x14ac:dyDescent="0.35">
      <c r="A68" s="5" t="s">
        <v>69</v>
      </c>
      <c r="B68" s="5" t="s">
        <v>56</v>
      </c>
      <c r="C68" s="5" t="s">
        <v>62</v>
      </c>
      <c r="D68" s="5" t="s">
        <v>70</v>
      </c>
      <c r="E68" s="5" t="s">
        <v>55</v>
      </c>
      <c r="F68" s="5" t="s">
        <v>126</v>
      </c>
      <c r="G68" s="5" t="s">
        <v>127</v>
      </c>
      <c r="H68" s="5" t="s">
        <v>87</v>
      </c>
      <c r="I68" s="5" t="s">
        <v>128</v>
      </c>
      <c r="J68" s="5" t="s">
        <v>129</v>
      </c>
      <c r="K68" s="5" t="s">
        <v>109</v>
      </c>
      <c r="L68" s="5" t="s">
        <v>54</v>
      </c>
      <c r="M68" s="5" t="s">
        <v>110</v>
      </c>
      <c r="N68" s="5" t="s">
        <v>111</v>
      </c>
      <c r="O68" s="5" t="s">
        <v>112</v>
      </c>
    </row>
    <row r="69" spans="1:15" ht="42" customHeight="1" x14ac:dyDescent="0.35">
      <c r="A69" s="5" t="s">
        <v>677</v>
      </c>
      <c r="B69" s="5" t="s">
        <v>56</v>
      </c>
      <c r="C69" s="5" t="s">
        <v>61</v>
      </c>
      <c r="D69" s="5" t="s">
        <v>70</v>
      </c>
      <c r="E69" s="5" t="s">
        <v>78</v>
      </c>
      <c r="F69" s="5" t="s">
        <v>678</v>
      </c>
      <c r="G69" s="5" t="s">
        <v>246</v>
      </c>
      <c r="H69" s="5" t="s">
        <v>181</v>
      </c>
      <c r="I69" s="5" t="s">
        <v>679</v>
      </c>
      <c r="J69" s="5" t="s">
        <v>650</v>
      </c>
      <c r="K69" s="5" t="s">
        <v>109</v>
      </c>
      <c r="L69" s="5" t="s">
        <v>54</v>
      </c>
      <c r="M69" s="5" t="s">
        <v>110</v>
      </c>
      <c r="N69" s="5" t="s">
        <v>68</v>
      </c>
      <c r="O69" s="5" t="s">
        <v>112</v>
      </c>
    </row>
    <row r="70" spans="1:15" ht="28.5" customHeight="1" x14ac:dyDescent="0.35">
      <c r="A70" s="5" t="s">
        <v>680</v>
      </c>
      <c r="B70" s="5" t="s">
        <v>56</v>
      </c>
      <c r="C70" s="5" t="s">
        <v>62</v>
      </c>
      <c r="D70" s="5" t="s">
        <v>681</v>
      </c>
      <c r="E70" s="5" t="s">
        <v>55</v>
      </c>
      <c r="F70" s="5" t="s">
        <v>682</v>
      </c>
      <c r="G70" s="5" t="s">
        <v>683</v>
      </c>
      <c r="H70" s="5" t="s">
        <v>87</v>
      </c>
      <c r="I70" s="5" t="s">
        <v>684</v>
      </c>
      <c r="J70" s="5" t="s">
        <v>685</v>
      </c>
      <c r="K70" s="5" t="s">
        <v>686</v>
      </c>
      <c r="L70" s="5" t="s">
        <v>687</v>
      </c>
      <c r="M70" s="5" t="s">
        <v>688</v>
      </c>
      <c r="N70" s="5" t="s">
        <v>689</v>
      </c>
      <c r="O70" s="5" t="s">
        <v>690</v>
      </c>
    </row>
    <row r="71" spans="1:15" ht="28.5" customHeight="1" x14ac:dyDescent="0.35">
      <c r="A71" s="5" t="s">
        <v>691</v>
      </c>
      <c r="B71" s="5" t="s">
        <v>56</v>
      </c>
      <c r="C71" s="5" t="s">
        <v>63</v>
      </c>
      <c r="D71" s="5" t="s">
        <v>692</v>
      </c>
      <c r="E71" s="5" t="s">
        <v>55</v>
      </c>
      <c r="F71" s="5" t="s">
        <v>693</v>
      </c>
      <c r="G71" s="5" t="s">
        <v>694</v>
      </c>
      <c r="H71" s="5" t="s">
        <v>181</v>
      </c>
      <c r="I71" s="5" t="s">
        <v>695</v>
      </c>
      <c r="J71" s="5" t="s">
        <v>696</v>
      </c>
      <c r="K71" s="5" t="s">
        <v>686</v>
      </c>
      <c r="L71" s="5" t="s">
        <v>687</v>
      </c>
      <c r="M71" s="5" t="s">
        <v>688</v>
      </c>
      <c r="N71" s="5" t="s">
        <v>697</v>
      </c>
      <c r="O71" s="5" t="s">
        <v>690</v>
      </c>
    </row>
    <row r="72" spans="1:15" ht="42" customHeight="1" x14ac:dyDescent="0.35">
      <c r="A72" s="5" t="s">
        <v>71</v>
      </c>
      <c r="B72" s="5" t="s">
        <v>56</v>
      </c>
      <c r="C72" s="5" t="s">
        <v>61</v>
      </c>
      <c r="D72" s="5" t="s">
        <v>72</v>
      </c>
      <c r="E72" s="5" t="s">
        <v>55</v>
      </c>
      <c r="F72" s="5" t="s">
        <v>698</v>
      </c>
      <c r="G72" s="5" t="s">
        <v>246</v>
      </c>
      <c r="H72" s="5" t="s">
        <v>181</v>
      </c>
      <c r="I72" s="5" t="s">
        <v>699</v>
      </c>
      <c r="J72" s="5" t="s">
        <v>700</v>
      </c>
      <c r="K72" s="5" t="s">
        <v>113</v>
      </c>
      <c r="L72" s="5" t="s">
        <v>54</v>
      </c>
      <c r="M72" s="5" t="s">
        <v>114</v>
      </c>
      <c r="N72" s="5" t="s">
        <v>68</v>
      </c>
      <c r="O72" s="5" t="s">
        <v>115</v>
      </c>
    </row>
    <row r="73" spans="1:15" ht="42" customHeight="1" x14ac:dyDescent="0.35">
      <c r="A73" s="5" t="s">
        <v>701</v>
      </c>
      <c r="B73" s="5" t="s">
        <v>56</v>
      </c>
      <c r="C73" s="5" t="s">
        <v>61</v>
      </c>
      <c r="D73" s="5" t="s">
        <v>702</v>
      </c>
      <c r="E73" s="5" t="s">
        <v>55</v>
      </c>
      <c r="F73" s="5" t="s">
        <v>703</v>
      </c>
      <c r="G73" s="5" t="s">
        <v>704</v>
      </c>
      <c r="H73" s="5" t="s">
        <v>181</v>
      </c>
      <c r="I73" s="5" t="s">
        <v>705</v>
      </c>
      <c r="J73" s="5" t="s">
        <v>407</v>
      </c>
      <c r="K73" s="5" t="s">
        <v>706</v>
      </c>
      <c r="L73" s="5" t="s">
        <v>707</v>
      </c>
      <c r="M73" s="5" t="s">
        <v>708</v>
      </c>
      <c r="N73" s="5" t="s">
        <v>68</v>
      </c>
      <c r="O73" s="5" t="s">
        <v>709</v>
      </c>
    </row>
    <row r="74" spans="1:15" ht="42" customHeight="1" x14ac:dyDescent="0.35">
      <c r="A74" s="5" t="s">
        <v>710</v>
      </c>
      <c r="B74" s="5" t="s">
        <v>711</v>
      </c>
      <c r="C74" s="5" t="s">
        <v>62</v>
      </c>
      <c r="D74" s="5" t="s">
        <v>712</v>
      </c>
      <c r="E74" s="5" t="s">
        <v>713</v>
      </c>
      <c r="F74" s="5" t="s">
        <v>714</v>
      </c>
      <c r="G74" s="5" t="s">
        <v>715</v>
      </c>
      <c r="H74" s="5" t="s">
        <v>181</v>
      </c>
      <c r="I74" s="5" t="s">
        <v>716</v>
      </c>
      <c r="J74" s="5" t="s">
        <v>717</v>
      </c>
      <c r="K74" s="5" t="s">
        <v>718</v>
      </c>
      <c r="L74" s="5" t="s">
        <v>719</v>
      </c>
      <c r="M74" s="5" t="s">
        <v>720</v>
      </c>
      <c r="N74" s="5" t="s">
        <v>721</v>
      </c>
      <c r="O74" s="5" t="s">
        <v>722</v>
      </c>
    </row>
    <row r="75" spans="1:15" ht="15.75" customHeight="1" x14ac:dyDescent="0.35">
      <c r="A75" s="5" t="s">
        <v>723</v>
      </c>
      <c r="B75" s="5" t="s">
        <v>711</v>
      </c>
      <c r="C75" s="5" t="s">
        <v>62</v>
      </c>
      <c r="D75" s="5" t="s">
        <v>724</v>
      </c>
      <c r="E75" s="5" t="s">
        <v>725</v>
      </c>
      <c r="F75" s="5" t="s">
        <v>726</v>
      </c>
      <c r="G75" s="5" t="s">
        <v>246</v>
      </c>
      <c r="H75" s="5" t="s">
        <v>188</v>
      </c>
      <c r="I75" s="5" t="s">
        <v>246</v>
      </c>
      <c r="J75" s="5" t="s">
        <v>727</v>
      </c>
      <c r="K75" s="5" t="s">
        <v>718</v>
      </c>
      <c r="L75" s="5" t="s">
        <v>719</v>
      </c>
      <c r="M75" s="5" t="s">
        <v>720</v>
      </c>
      <c r="N75" s="5" t="s">
        <v>68</v>
      </c>
      <c r="O75" s="5" t="s">
        <v>722</v>
      </c>
    </row>
    <row r="76" spans="1:15" ht="28.5" customHeight="1" x14ac:dyDescent="0.35">
      <c r="A76" s="5" t="s">
        <v>728</v>
      </c>
      <c r="B76" s="5" t="s">
        <v>711</v>
      </c>
      <c r="C76" s="5" t="s">
        <v>61</v>
      </c>
      <c r="D76" s="5" t="s">
        <v>729</v>
      </c>
      <c r="E76" s="5" t="s">
        <v>725</v>
      </c>
      <c r="F76" s="5" t="s">
        <v>730</v>
      </c>
      <c r="G76" s="5" t="s">
        <v>246</v>
      </c>
      <c r="H76" s="5" t="s">
        <v>181</v>
      </c>
      <c r="I76" s="5" t="s">
        <v>731</v>
      </c>
      <c r="J76" s="5" t="s">
        <v>727</v>
      </c>
      <c r="K76" s="5" t="s">
        <v>718</v>
      </c>
      <c r="L76" s="5" t="s">
        <v>719</v>
      </c>
      <c r="M76" s="5" t="s">
        <v>720</v>
      </c>
      <c r="N76" s="5" t="s">
        <v>68</v>
      </c>
      <c r="O76" s="5" t="s">
        <v>722</v>
      </c>
    </row>
    <row r="77" spans="1:15" ht="28.5" customHeight="1" x14ac:dyDescent="0.35">
      <c r="A77" s="5" t="s">
        <v>732</v>
      </c>
      <c r="B77" s="5" t="s">
        <v>711</v>
      </c>
      <c r="C77" s="5" t="s">
        <v>62</v>
      </c>
      <c r="D77" s="5" t="s">
        <v>733</v>
      </c>
      <c r="E77" s="5" t="s">
        <v>725</v>
      </c>
      <c r="F77" s="5" t="s">
        <v>734</v>
      </c>
      <c r="G77" s="5" t="s">
        <v>735</v>
      </c>
      <c r="H77" s="5" t="s">
        <v>188</v>
      </c>
      <c r="I77" s="5" t="s">
        <v>246</v>
      </c>
      <c r="J77" s="5" t="s">
        <v>736</v>
      </c>
      <c r="K77" s="5" t="s">
        <v>737</v>
      </c>
      <c r="L77" s="5" t="s">
        <v>719</v>
      </c>
      <c r="M77" s="5" t="s">
        <v>738</v>
      </c>
      <c r="N77" s="5" t="s">
        <v>68</v>
      </c>
      <c r="O77" s="5" t="s">
        <v>739</v>
      </c>
    </row>
    <row r="78" spans="1:15" ht="28.5" customHeight="1" x14ac:dyDescent="0.35">
      <c r="A78" s="5" t="s">
        <v>740</v>
      </c>
      <c r="B78" s="5" t="s">
        <v>711</v>
      </c>
      <c r="C78" s="5" t="s">
        <v>62</v>
      </c>
      <c r="D78" s="5" t="s">
        <v>741</v>
      </c>
      <c r="E78" s="5" t="s">
        <v>713</v>
      </c>
      <c r="F78" s="5" t="s">
        <v>742</v>
      </c>
      <c r="G78" s="5" t="s">
        <v>743</v>
      </c>
      <c r="H78" s="5" t="s">
        <v>181</v>
      </c>
      <c r="I78" s="5" t="s">
        <v>744</v>
      </c>
      <c r="J78" s="5" t="s">
        <v>246</v>
      </c>
      <c r="K78" s="5" t="s">
        <v>745</v>
      </c>
      <c r="L78" s="5" t="s">
        <v>719</v>
      </c>
      <c r="M78" s="5" t="s">
        <v>746</v>
      </c>
      <c r="N78" s="5" t="s">
        <v>68</v>
      </c>
      <c r="O78" s="5" t="s">
        <v>747</v>
      </c>
    </row>
    <row r="79" spans="1:15" ht="28.5" customHeight="1" x14ac:dyDescent="0.35">
      <c r="A79" s="5" t="s">
        <v>748</v>
      </c>
      <c r="B79" s="5" t="s">
        <v>711</v>
      </c>
      <c r="C79" s="5" t="s">
        <v>62</v>
      </c>
      <c r="D79" s="5" t="s">
        <v>749</v>
      </c>
      <c r="E79" s="5" t="s">
        <v>713</v>
      </c>
      <c r="F79" s="5" t="s">
        <v>750</v>
      </c>
      <c r="G79" s="5" t="s">
        <v>751</v>
      </c>
      <c r="H79" s="5" t="s">
        <v>188</v>
      </c>
      <c r="I79" s="5" t="s">
        <v>246</v>
      </c>
      <c r="J79" s="5" t="s">
        <v>752</v>
      </c>
      <c r="K79" s="5" t="s">
        <v>745</v>
      </c>
      <c r="L79" s="5" t="s">
        <v>719</v>
      </c>
      <c r="M79" s="5" t="s">
        <v>746</v>
      </c>
      <c r="N79" s="5" t="s">
        <v>68</v>
      </c>
      <c r="O79" s="5" t="s">
        <v>747</v>
      </c>
    </row>
    <row r="80" spans="1:15" ht="42" customHeight="1" x14ac:dyDescent="0.35">
      <c r="A80" s="5" t="s">
        <v>753</v>
      </c>
      <c r="B80" s="5" t="s">
        <v>711</v>
      </c>
      <c r="C80" s="5" t="s">
        <v>62</v>
      </c>
      <c r="D80" s="5" t="s">
        <v>754</v>
      </c>
      <c r="E80" s="5" t="s">
        <v>84</v>
      </c>
      <c r="F80" s="5" t="s">
        <v>755</v>
      </c>
      <c r="G80" s="5" t="s">
        <v>756</v>
      </c>
      <c r="H80" s="5" t="s">
        <v>87</v>
      </c>
      <c r="I80" s="5" t="s">
        <v>757</v>
      </c>
      <c r="J80" s="5" t="s">
        <v>758</v>
      </c>
      <c r="K80" s="5" t="s">
        <v>759</v>
      </c>
      <c r="L80" s="5" t="s">
        <v>719</v>
      </c>
      <c r="M80" s="5" t="s">
        <v>760</v>
      </c>
      <c r="N80" s="5" t="s">
        <v>761</v>
      </c>
      <c r="O80" s="5" t="s">
        <v>762</v>
      </c>
    </row>
    <row r="81" spans="1:15" ht="42" customHeight="1" x14ac:dyDescent="0.35">
      <c r="A81" s="5" t="s">
        <v>763</v>
      </c>
      <c r="B81" s="5" t="s">
        <v>711</v>
      </c>
      <c r="C81" s="5" t="s">
        <v>63</v>
      </c>
      <c r="D81" s="5" t="s">
        <v>764</v>
      </c>
      <c r="E81" s="5" t="s">
        <v>84</v>
      </c>
      <c r="F81" s="5" t="s">
        <v>765</v>
      </c>
      <c r="G81" s="5" t="s">
        <v>766</v>
      </c>
      <c r="H81" s="5" t="s">
        <v>181</v>
      </c>
      <c r="I81" s="5" t="s">
        <v>767</v>
      </c>
      <c r="J81" s="5" t="s">
        <v>768</v>
      </c>
      <c r="K81" s="5" t="s">
        <v>759</v>
      </c>
      <c r="L81" s="5" t="s">
        <v>719</v>
      </c>
      <c r="M81" s="5" t="s">
        <v>760</v>
      </c>
      <c r="N81" s="5" t="s">
        <v>769</v>
      </c>
      <c r="O81" s="5" t="s">
        <v>762</v>
      </c>
    </row>
    <row r="82" spans="1:15" ht="28.5" customHeight="1" x14ac:dyDescent="0.35">
      <c r="A82" s="5" t="s">
        <v>770</v>
      </c>
      <c r="B82" s="5" t="s">
        <v>711</v>
      </c>
      <c r="C82" s="5" t="s">
        <v>61</v>
      </c>
      <c r="D82" s="5" t="s">
        <v>754</v>
      </c>
      <c r="E82" s="5" t="s">
        <v>84</v>
      </c>
      <c r="F82" s="5" t="s">
        <v>771</v>
      </c>
      <c r="G82" s="5" t="s">
        <v>772</v>
      </c>
      <c r="H82" s="5" t="s">
        <v>181</v>
      </c>
      <c r="I82" s="5" t="s">
        <v>773</v>
      </c>
      <c r="J82" s="5" t="s">
        <v>246</v>
      </c>
      <c r="K82" s="5" t="s">
        <v>759</v>
      </c>
      <c r="L82" s="5" t="s">
        <v>719</v>
      </c>
      <c r="M82" s="5" t="s">
        <v>760</v>
      </c>
      <c r="N82" s="5" t="s">
        <v>68</v>
      </c>
      <c r="O82" s="5" t="s">
        <v>762</v>
      </c>
    </row>
    <row r="83" spans="1:15" ht="42" customHeight="1" x14ac:dyDescent="0.35">
      <c r="A83" s="5" t="s">
        <v>774</v>
      </c>
      <c r="B83" s="5" t="s">
        <v>711</v>
      </c>
      <c r="C83" s="5" t="s">
        <v>62</v>
      </c>
      <c r="D83" s="5" t="s">
        <v>775</v>
      </c>
      <c r="E83" s="5" t="s">
        <v>84</v>
      </c>
      <c r="F83" s="5" t="s">
        <v>776</v>
      </c>
      <c r="G83" s="5" t="s">
        <v>246</v>
      </c>
      <c r="H83" s="5" t="s">
        <v>181</v>
      </c>
      <c r="I83" s="5" t="s">
        <v>777</v>
      </c>
      <c r="J83" s="5" t="s">
        <v>778</v>
      </c>
      <c r="K83" s="5" t="s">
        <v>745</v>
      </c>
      <c r="L83" s="5" t="s">
        <v>719</v>
      </c>
      <c r="M83" s="5" t="s">
        <v>746</v>
      </c>
      <c r="N83" s="5" t="s">
        <v>68</v>
      </c>
      <c r="O83" s="5" t="s">
        <v>747</v>
      </c>
    </row>
    <row r="84" spans="1:15" ht="15.75" customHeight="1" x14ac:dyDescent="0.35">
      <c r="A84" s="5" t="s">
        <v>779</v>
      </c>
      <c r="B84" s="5" t="s">
        <v>711</v>
      </c>
      <c r="C84" s="5" t="s">
        <v>61</v>
      </c>
      <c r="D84" s="5" t="s">
        <v>780</v>
      </c>
      <c r="E84" s="5" t="s">
        <v>84</v>
      </c>
      <c r="F84" s="5" t="s">
        <v>781</v>
      </c>
      <c r="G84" s="5" t="s">
        <v>246</v>
      </c>
      <c r="H84" s="5" t="s">
        <v>181</v>
      </c>
      <c r="I84" s="5" t="s">
        <v>782</v>
      </c>
      <c r="J84" s="5" t="s">
        <v>246</v>
      </c>
      <c r="K84" s="5" t="s">
        <v>759</v>
      </c>
      <c r="L84" s="5" t="s">
        <v>719</v>
      </c>
      <c r="M84" s="5" t="s">
        <v>760</v>
      </c>
      <c r="N84" s="5" t="s">
        <v>68</v>
      </c>
      <c r="O84" s="5" t="s">
        <v>762</v>
      </c>
    </row>
    <row r="85" spans="1:15" ht="54.75" customHeight="1" x14ac:dyDescent="0.35">
      <c r="A85" s="5" t="s">
        <v>783</v>
      </c>
      <c r="B85" s="5" t="s">
        <v>711</v>
      </c>
      <c r="C85" s="5" t="s">
        <v>62</v>
      </c>
      <c r="D85" s="5" t="s">
        <v>784</v>
      </c>
      <c r="E85" s="5" t="s">
        <v>84</v>
      </c>
      <c r="F85" s="5" t="s">
        <v>785</v>
      </c>
      <c r="G85" s="5" t="s">
        <v>786</v>
      </c>
      <c r="H85" s="5" t="s">
        <v>87</v>
      </c>
      <c r="I85" s="5" t="s">
        <v>787</v>
      </c>
      <c r="J85" s="5" t="s">
        <v>302</v>
      </c>
      <c r="K85" s="5" t="s">
        <v>788</v>
      </c>
      <c r="L85" s="5" t="s">
        <v>304</v>
      </c>
      <c r="M85" s="5" t="s">
        <v>789</v>
      </c>
      <c r="N85" s="5" t="s">
        <v>306</v>
      </c>
      <c r="O85" s="5" t="s">
        <v>790</v>
      </c>
    </row>
    <row r="86" spans="1:15" ht="42" customHeight="1" x14ac:dyDescent="0.35">
      <c r="A86" s="5" t="s">
        <v>791</v>
      </c>
      <c r="B86" s="5" t="s">
        <v>711</v>
      </c>
      <c r="C86" s="5" t="s">
        <v>63</v>
      </c>
      <c r="D86" s="5" t="s">
        <v>792</v>
      </c>
      <c r="E86" s="5" t="s">
        <v>84</v>
      </c>
      <c r="F86" s="5" t="s">
        <v>793</v>
      </c>
      <c r="G86" s="5" t="s">
        <v>794</v>
      </c>
      <c r="H86" s="5" t="s">
        <v>181</v>
      </c>
      <c r="I86" s="5" t="s">
        <v>795</v>
      </c>
      <c r="J86" s="5" t="s">
        <v>796</v>
      </c>
      <c r="K86" s="5" t="s">
        <v>788</v>
      </c>
      <c r="L86" s="5" t="s">
        <v>304</v>
      </c>
      <c r="M86" s="5" t="s">
        <v>789</v>
      </c>
      <c r="N86" s="5" t="s">
        <v>314</v>
      </c>
      <c r="O86" s="5" t="s">
        <v>790</v>
      </c>
    </row>
    <row r="87" spans="1:15" ht="28.5" customHeight="1" x14ac:dyDescent="0.35">
      <c r="A87" s="5" t="s">
        <v>797</v>
      </c>
      <c r="B87" s="5" t="s">
        <v>711</v>
      </c>
      <c r="C87" s="5" t="s">
        <v>61</v>
      </c>
      <c r="D87" s="5" t="s">
        <v>784</v>
      </c>
      <c r="E87" s="5" t="s">
        <v>84</v>
      </c>
      <c r="F87" s="5" t="s">
        <v>798</v>
      </c>
      <c r="G87" s="5" t="s">
        <v>799</v>
      </c>
      <c r="H87" s="5" t="s">
        <v>181</v>
      </c>
      <c r="I87" s="5" t="s">
        <v>800</v>
      </c>
      <c r="J87" s="5" t="s">
        <v>246</v>
      </c>
      <c r="K87" s="5" t="s">
        <v>788</v>
      </c>
      <c r="L87" s="5" t="s">
        <v>304</v>
      </c>
      <c r="M87" s="5" t="s">
        <v>789</v>
      </c>
      <c r="N87" s="5" t="s">
        <v>68</v>
      </c>
      <c r="O87" s="5" t="s">
        <v>790</v>
      </c>
    </row>
    <row r="88" spans="1:15" ht="81" customHeight="1" x14ac:dyDescent="0.35">
      <c r="A88" s="5" t="s">
        <v>801</v>
      </c>
      <c r="B88" s="5" t="s">
        <v>711</v>
      </c>
      <c r="C88" s="5" t="s">
        <v>61</v>
      </c>
      <c r="D88" s="5" t="s">
        <v>802</v>
      </c>
      <c r="E88" s="5" t="s">
        <v>84</v>
      </c>
      <c r="F88" s="5" t="s">
        <v>803</v>
      </c>
      <c r="G88" s="5" t="s">
        <v>804</v>
      </c>
      <c r="H88" s="5" t="s">
        <v>181</v>
      </c>
      <c r="I88" s="5" t="s">
        <v>805</v>
      </c>
      <c r="J88" s="5" t="s">
        <v>806</v>
      </c>
      <c r="K88" s="5" t="s">
        <v>807</v>
      </c>
      <c r="L88" s="5" t="s">
        <v>707</v>
      </c>
      <c r="M88" s="5" t="s">
        <v>808</v>
      </c>
      <c r="N88" s="5" t="s">
        <v>68</v>
      </c>
      <c r="O88" s="5" t="s">
        <v>809</v>
      </c>
    </row>
    <row r="89" spans="1:15" ht="28.5" customHeight="1" x14ac:dyDescent="0.35">
      <c r="A89" s="5" t="s">
        <v>810</v>
      </c>
      <c r="B89" s="5" t="s">
        <v>711</v>
      </c>
      <c r="C89" s="5" t="s">
        <v>64</v>
      </c>
      <c r="D89" s="5" t="s">
        <v>811</v>
      </c>
      <c r="E89" s="5" t="s">
        <v>85</v>
      </c>
      <c r="F89" s="5" t="s">
        <v>812</v>
      </c>
      <c r="G89" s="5" t="s">
        <v>813</v>
      </c>
      <c r="H89" s="5" t="s">
        <v>181</v>
      </c>
      <c r="I89" s="5" t="s">
        <v>814</v>
      </c>
      <c r="J89" s="5" t="s">
        <v>815</v>
      </c>
      <c r="K89" s="5" t="s">
        <v>816</v>
      </c>
      <c r="L89" s="5" t="s">
        <v>817</v>
      </c>
      <c r="M89" s="5" t="s">
        <v>818</v>
      </c>
      <c r="N89" s="5" t="s">
        <v>68</v>
      </c>
      <c r="O89" s="5" t="s">
        <v>819</v>
      </c>
    </row>
    <row r="90" spans="1:15" ht="42" customHeight="1" x14ac:dyDescent="0.35">
      <c r="A90" s="5" t="s">
        <v>820</v>
      </c>
      <c r="B90" s="5" t="s">
        <v>711</v>
      </c>
      <c r="C90" s="5" t="s">
        <v>61</v>
      </c>
      <c r="D90" s="5" t="s">
        <v>821</v>
      </c>
      <c r="E90" s="5" t="s">
        <v>822</v>
      </c>
      <c r="F90" s="5" t="s">
        <v>823</v>
      </c>
      <c r="G90" s="5" t="s">
        <v>824</v>
      </c>
      <c r="H90" s="5" t="s">
        <v>181</v>
      </c>
      <c r="I90" s="5" t="s">
        <v>825</v>
      </c>
      <c r="J90" s="5" t="s">
        <v>246</v>
      </c>
      <c r="K90" s="5" t="s">
        <v>816</v>
      </c>
      <c r="L90" s="5" t="s">
        <v>817</v>
      </c>
      <c r="M90" s="5" t="s">
        <v>818</v>
      </c>
      <c r="N90" s="5" t="s">
        <v>68</v>
      </c>
      <c r="O90" s="5" t="s">
        <v>819</v>
      </c>
    </row>
    <row r="91" spans="1:15" ht="42" customHeight="1" x14ac:dyDescent="0.35">
      <c r="A91" s="5" t="s">
        <v>826</v>
      </c>
      <c r="B91" s="5" t="s">
        <v>711</v>
      </c>
      <c r="C91" s="5" t="s">
        <v>62</v>
      </c>
      <c r="D91" s="5" t="s">
        <v>827</v>
      </c>
      <c r="E91" s="5" t="s">
        <v>86</v>
      </c>
      <c r="F91" s="5" t="s">
        <v>828</v>
      </c>
      <c r="G91" s="5" t="s">
        <v>829</v>
      </c>
      <c r="H91" s="5" t="s">
        <v>87</v>
      </c>
      <c r="I91" s="5" t="s">
        <v>830</v>
      </c>
      <c r="J91" s="5" t="s">
        <v>831</v>
      </c>
      <c r="K91" s="5" t="s">
        <v>832</v>
      </c>
      <c r="L91" s="5" t="s">
        <v>817</v>
      </c>
      <c r="M91" s="5" t="s">
        <v>833</v>
      </c>
      <c r="N91" s="5" t="s">
        <v>68</v>
      </c>
      <c r="O91" s="5" t="s">
        <v>834</v>
      </c>
    </row>
    <row r="92" spans="1:15" ht="54.75" customHeight="1" x14ac:dyDescent="0.35">
      <c r="A92" s="5" t="s">
        <v>835</v>
      </c>
      <c r="B92" s="5" t="s">
        <v>711</v>
      </c>
      <c r="C92" s="5" t="s">
        <v>61</v>
      </c>
      <c r="D92" s="5" t="s">
        <v>836</v>
      </c>
      <c r="E92" s="5" t="s">
        <v>84</v>
      </c>
      <c r="F92" s="5" t="s">
        <v>837</v>
      </c>
      <c r="G92" s="5" t="s">
        <v>838</v>
      </c>
      <c r="H92" s="5" t="s">
        <v>181</v>
      </c>
      <c r="I92" s="5" t="s">
        <v>839</v>
      </c>
      <c r="J92" s="5" t="s">
        <v>246</v>
      </c>
      <c r="K92" s="5" t="s">
        <v>264</v>
      </c>
      <c r="L92" s="5" t="s">
        <v>265</v>
      </c>
      <c r="M92" s="5" t="s">
        <v>266</v>
      </c>
      <c r="N92" s="5" t="s">
        <v>68</v>
      </c>
      <c r="O92" s="5" t="s">
        <v>267</v>
      </c>
    </row>
    <row r="94" spans="1:15" x14ac:dyDescent="0.35">
      <c r="A94" s="13" t="s">
        <v>840</v>
      </c>
    </row>
    <row r="95" spans="1:15" x14ac:dyDescent="0.35">
      <c r="A95" s="7" t="s">
        <v>841</v>
      </c>
      <c r="D95" s="13">
        <f>COUNTA(A4:A92)</f>
        <v>89</v>
      </c>
    </row>
    <row r="96" spans="1:15" x14ac:dyDescent="0.35">
      <c r="A96" s="7" t="s">
        <v>842</v>
      </c>
      <c r="D96" s="13">
        <f>COUNTIF(B4:B92,"A")</f>
        <v>10</v>
      </c>
    </row>
    <row r="97" spans="1:4" x14ac:dyDescent="0.35">
      <c r="A97" s="7" t="s">
        <v>843</v>
      </c>
      <c r="D97" s="13">
        <f>COUNTIF(B4:B92,"B")</f>
        <v>20</v>
      </c>
    </row>
    <row r="98" spans="1:4" x14ac:dyDescent="0.35">
      <c r="A98" s="7" t="s">
        <v>80</v>
      </c>
      <c r="D98" s="13">
        <f>COUNTIF(B4:B92,"C")</f>
        <v>15</v>
      </c>
    </row>
    <row r="99" spans="1:4" x14ac:dyDescent="0.35">
      <c r="A99" s="7" t="s">
        <v>82</v>
      </c>
      <c r="D99" s="13">
        <f>COUNTIF(B4:B92,"D")</f>
        <v>10</v>
      </c>
    </row>
    <row r="100" spans="1:4" x14ac:dyDescent="0.35">
      <c r="A100" s="7" t="s">
        <v>83</v>
      </c>
      <c r="D100" s="13">
        <f>COUNTIF(B4:B92,"E")</f>
        <v>15</v>
      </c>
    </row>
    <row r="101" spans="1:4" x14ac:dyDescent="0.35">
      <c r="A101" s="7" t="s">
        <v>844</v>
      </c>
      <c r="D101" s="13">
        <f>COUNTIF(B4:B92,"F")</f>
        <v>19</v>
      </c>
    </row>
  </sheetData>
  <autoFilter ref="A3:O92" xr:uid="{00000000-0009-0000-0000-00000D000000}"/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48235"/>
    <pageSetUpPr fitToPage="1"/>
  </sheetPr>
  <dimension ref="A1:D86"/>
  <sheetViews>
    <sheetView showGridLines="0" zoomScaleNormal="100" workbookViewId="0">
      <pane ySplit="3" topLeftCell="A4" activePane="bottomLeft" state="frozen"/>
      <selection pane="bottomLeft" activeCell="C22" sqref="C22"/>
    </sheetView>
  </sheetViews>
  <sheetFormatPr defaultColWidth="8.6328125" defaultRowHeight="14.5" x14ac:dyDescent="0.35"/>
  <cols>
    <col min="1" max="1" width="30" customWidth="1"/>
    <col min="2" max="2" width="10" customWidth="1"/>
    <col min="3" max="3" width="70" customWidth="1"/>
    <col min="4" max="4" width="40" customWidth="1"/>
  </cols>
  <sheetData>
    <row r="1" spans="1:4" ht="15.5" x14ac:dyDescent="0.35">
      <c r="A1" s="1" t="s">
        <v>1084</v>
      </c>
    </row>
    <row r="2" spans="1:4" x14ac:dyDescent="0.35">
      <c r="A2" s="10"/>
    </row>
    <row r="3" spans="1:4" ht="28.5" customHeight="1" x14ac:dyDescent="0.35">
      <c r="A3" s="4" t="s">
        <v>88</v>
      </c>
      <c r="B3" s="4" t="s">
        <v>38</v>
      </c>
      <c r="C3" s="4" t="s">
        <v>23</v>
      </c>
      <c r="D3" s="4" t="s">
        <v>845</v>
      </c>
    </row>
    <row r="4" spans="1:4" ht="15.75" customHeight="1" x14ac:dyDescent="0.35">
      <c r="A4" s="5" t="s">
        <v>846</v>
      </c>
      <c r="B4" s="5" t="s">
        <v>192</v>
      </c>
      <c r="C4" s="5" t="s">
        <v>847</v>
      </c>
      <c r="D4" s="5" t="s">
        <v>848</v>
      </c>
    </row>
    <row r="5" spans="1:4" ht="15.75" customHeight="1" x14ac:dyDescent="0.35">
      <c r="A5" s="5" t="s">
        <v>849</v>
      </c>
      <c r="B5" s="5" t="s">
        <v>192</v>
      </c>
      <c r="C5" s="5" t="s">
        <v>850</v>
      </c>
      <c r="D5" s="5" t="s">
        <v>801</v>
      </c>
    </row>
    <row r="6" spans="1:4" ht="15.75" customHeight="1" x14ac:dyDescent="0.35">
      <c r="A6" s="5" t="s">
        <v>851</v>
      </c>
      <c r="B6" s="5" t="s">
        <v>192</v>
      </c>
      <c r="C6" s="5" t="s">
        <v>852</v>
      </c>
      <c r="D6" s="5" t="s">
        <v>233</v>
      </c>
    </row>
    <row r="7" spans="1:4" ht="15.75" customHeight="1" x14ac:dyDescent="0.35">
      <c r="A7" s="5" t="s">
        <v>853</v>
      </c>
      <c r="B7" s="5" t="s">
        <v>196</v>
      </c>
      <c r="C7" s="5" t="s">
        <v>854</v>
      </c>
      <c r="D7" s="5" t="s">
        <v>710</v>
      </c>
    </row>
    <row r="8" spans="1:4" ht="28.5" customHeight="1" x14ac:dyDescent="0.35">
      <c r="A8" s="5" t="s">
        <v>855</v>
      </c>
      <c r="B8" s="5" t="s">
        <v>196</v>
      </c>
      <c r="C8" s="5" t="s">
        <v>856</v>
      </c>
      <c r="D8" s="5" t="s">
        <v>710</v>
      </c>
    </row>
    <row r="9" spans="1:4" ht="15.75" customHeight="1" x14ac:dyDescent="0.35">
      <c r="A9" s="5" t="s">
        <v>857</v>
      </c>
      <c r="B9" s="5" t="s">
        <v>196</v>
      </c>
      <c r="C9" s="5" t="s">
        <v>858</v>
      </c>
      <c r="D9" s="5" t="s">
        <v>859</v>
      </c>
    </row>
    <row r="10" spans="1:4" ht="15.75" customHeight="1" x14ac:dyDescent="0.35">
      <c r="A10" s="5" t="s">
        <v>860</v>
      </c>
      <c r="B10" s="5" t="s">
        <v>196</v>
      </c>
      <c r="C10" s="5" t="s">
        <v>861</v>
      </c>
      <c r="D10" s="5" t="s">
        <v>862</v>
      </c>
    </row>
    <row r="11" spans="1:4" ht="15.75" customHeight="1" x14ac:dyDescent="0.35">
      <c r="A11" s="5" t="s">
        <v>863</v>
      </c>
      <c r="B11" s="5" t="s">
        <v>196</v>
      </c>
      <c r="C11" s="5" t="s">
        <v>864</v>
      </c>
      <c r="D11" s="5" t="s">
        <v>841</v>
      </c>
    </row>
    <row r="12" spans="1:4" ht="15.75" customHeight="1" x14ac:dyDescent="0.35">
      <c r="A12" s="5" t="s">
        <v>865</v>
      </c>
      <c r="B12" s="5" t="s">
        <v>200</v>
      </c>
      <c r="C12" s="5" t="s">
        <v>866</v>
      </c>
      <c r="D12" s="5" t="s">
        <v>575</v>
      </c>
    </row>
    <row r="13" spans="1:4" ht="15.75" customHeight="1" x14ac:dyDescent="0.35">
      <c r="A13" s="5" t="s">
        <v>867</v>
      </c>
      <c r="B13" s="5" t="s">
        <v>200</v>
      </c>
      <c r="C13" s="5" t="s">
        <v>868</v>
      </c>
      <c r="D13" s="5" t="s">
        <v>430</v>
      </c>
    </row>
    <row r="14" spans="1:4" ht="28.5" customHeight="1" x14ac:dyDescent="0.35">
      <c r="A14" s="5" t="s">
        <v>203</v>
      </c>
      <c r="B14" s="5" t="s">
        <v>200</v>
      </c>
      <c r="C14" s="5" t="s">
        <v>869</v>
      </c>
      <c r="D14" s="5" t="s">
        <v>870</v>
      </c>
    </row>
    <row r="15" spans="1:4" ht="15.75" customHeight="1" x14ac:dyDescent="0.35">
      <c r="A15" s="5" t="s">
        <v>871</v>
      </c>
      <c r="B15" s="5" t="s">
        <v>89</v>
      </c>
      <c r="C15" s="5" t="s">
        <v>872</v>
      </c>
      <c r="D15" s="5" t="s">
        <v>873</v>
      </c>
    </row>
    <row r="16" spans="1:4" ht="15.75" customHeight="1" x14ac:dyDescent="0.35">
      <c r="A16" s="5" t="s">
        <v>874</v>
      </c>
      <c r="B16" s="5" t="s">
        <v>89</v>
      </c>
      <c r="C16" s="5" t="s">
        <v>875</v>
      </c>
      <c r="D16" s="5" t="s">
        <v>826</v>
      </c>
    </row>
    <row r="17" spans="1:4" ht="15.75" customHeight="1" x14ac:dyDescent="0.35">
      <c r="A17" s="5" t="s">
        <v>90</v>
      </c>
      <c r="B17" s="5" t="s">
        <v>89</v>
      </c>
      <c r="C17" s="5" t="s">
        <v>876</v>
      </c>
      <c r="D17" s="5" t="s">
        <v>877</v>
      </c>
    </row>
    <row r="18" spans="1:4" ht="15.75" customHeight="1" x14ac:dyDescent="0.35">
      <c r="A18" s="5" t="s">
        <v>878</v>
      </c>
      <c r="B18" s="5" t="s">
        <v>89</v>
      </c>
      <c r="C18" s="5" t="s">
        <v>879</v>
      </c>
      <c r="D18" s="5" t="s">
        <v>691</v>
      </c>
    </row>
    <row r="19" spans="1:4" ht="15.75" customHeight="1" x14ac:dyDescent="0.35">
      <c r="A19" s="5" t="s">
        <v>880</v>
      </c>
      <c r="B19" s="5" t="s">
        <v>89</v>
      </c>
      <c r="C19" s="5" t="s">
        <v>881</v>
      </c>
      <c r="D19" s="5" t="s">
        <v>448</v>
      </c>
    </row>
    <row r="20" spans="1:4" ht="15.75" customHeight="1" x14ac:dyDescent="0.35">
      <c r="A20" s="5" t="s">
        <v>882</v>
      </c>
      <c r="B20" s="5" t="s">
        <v>89</v>
      </c>
      <c r="C20" s="5" t="s">
        <v>883</v>
      </c>
      <c r="D20" s="5" t="s">
        <v>282</v>
      </c>
    </row>
    <row r="21" spans="1:4" ht="15.75" customHeight="1" x14ac:dyDescent="0.35">
      <c r="A21" s="5" t="s">
        <v>884</v>
      </c>
      <c r="B21" s="5" t="s">
        <v>89</v>
      </c>
      <c r="C21" s="5" t="s">
        <v>885</v>
      </c>
      <c r="D21" s="5" t="s">
        <v>308</v>
      </c>
    </row>
    <row r="22" spans="1:4" ht="15.75" customHeight="1" x14ac:dyDescent="0.35">
      <c r="A22" s="5" t="s">
        <v>886</v>
      </c>
      <c r="B22" s="5" t="s">
        <v>89</v>
      </c>
      <c r="C22" s="5" t="s">
        <v>887</v>
      </c>
      <c r="D22" s="5" t="s">
        <v>888</v>
      </c>
    </row>
    <row r="23" spans="1:4" ht="15.75" customHeight="1" x14ac:dyDescent="0.35">
      <c r="A23" s="5" t="s">
        <v>889</v>
      </c>
      <c r="B23" s="5" t="s">
        <v>89</v>
      </c>
      <c r="C23" s="5" t="s">
        <v>890</v>
      </c>
      <c r="D23" s="5" t="s">
        <v>891</v>
      </c>
    </row>
    <row r="24" spans="1:4" ht="15.75" customHeight="1" x14ac:dyDescent="0.35">
      <c r="A24" s="5" t="s">
        <v>892</v>
      </c>
      <c r="B24" s="5" t="s">
        <v>89</v>
      </c>
      <c r="C24" s="5" t="s">
        <v>893</v>
      </c>
      <c r="D24" s="5" t="s">
        <v>586</v>
      </c>
    </row>
    <row r="25" spans="1:4" ht="15.75" customHeight="1" x14ac:dyDescent="0.35">
      <c r="A25" s="5" t="s">
        <v>894</v>
      </c>
      <c r="B25" s="5" t="s">
        <v>89</v>
      </c>
      <c r="C25" s="5" t="s">
        <v>895</v>
      </c>
      <c r="D25" s="5" t="s">
        <v>609</v>
      </c>
    </row>
    <row r="26" spans="1:4" ht="28.5" customHeight="1" x14ac:dyDescent="0.35">
      <c r="A26" s="5" t="s">
        <v>896</v>
      </c>
      <c r="B26" s="5" t="s">
        <v>89</v>
      </c>
      <c r="C26" s="5" t="s">
        <v>897</v>
      </c>
      <c r="D26" s="5" t="s">
        <v>898</v>
      </c>
    </row>
    <row r="27" spans="1:4" ht="15.75" customHeight="1" x14ac:dyDescent="0.35">
      <c r="A27" s="5" t="s">
        <v>899</v>
      </c>
      <c r="B27" s="5" t="s">
        <v>89</v>
      </c>
      <c r="C27" s="5" t="s">
        <v>900</v>
      </c>
      <c r="D27" s="5" t="s">
        <v>488</v>
      </c>
    </row>
    <row r="28" spans="1:4" ht="15.75" customHeight="1" x14ac:dyDescent="0.35">
      <c r="A28" s="5" t="s">
        <v>901</v>
      </c>
      <c r="B28" s="5" t="s">
        <v>89</v>
      </c>
      <c r="C28" s="5" t="s">
        <v>902</v>
      </c>
      <c r="D28" s="5" t="s">
        <v>629</v>
      </c>
    </row>
    <row r="29" spans="1:4" ht="15.75" customHeight="1" x14ac:dyDescent="0.35">
      <c r="A29" s="5" t="s">
        <v>903</v>
      </c>
      <c r="B29" s="5" t="s">
        <v>89</v>
      </c>
      <c r="C29" s="5" t="s">
        <v>904</v>
      </c>
      <c r="D29" s="5" t="s">
        <v>791</v>
      </c>
    </row>
    <row r="30" spans="1:4" ht="15.75" customHeight="1" x14ac:dyDescent="0.35">
      <c r="A30" s="5" t="s">
        <v>905</v>
      </c>
      <c r="B30" s="5" t="s">
        <v>89</v>
      </c>
      <c r="C30" s="5" t="s">
        <v>906</v>
      </c>
      <c r="D30" s="5" t="s">
        <v>342</v>
      </c>
    </row>
    <row r="31" spans="1:4" ht="15.75" customHeight="1" x14ac:dyDescent="0.35">
      <c r="A31" s="5" t="s">
        <v>907</v>
      </c>
      <c r="B31" s="5" t="s">
        <v>89</v>
      </c>
      <c r="C31" s="5" t="s">
        <v>908</v>
      </c>
      <c r="D31" s="5" t="s">
        <v>801</v>
      </c>
    </row>
    <row r="32" spans="1:4" ht="15.75" customHeight="1" x14ac:dyDescent="0.35">
      <c r="A32" s="5" t="s">
        <v>909</v>
      </c>
      <c r="B32" s="5" t="s">
        <v>89</v>
      </c>
      <c r="C32" s="5" t="s">
        <v>910</v>
      </c>
      <c r="D32" s="5" t="s">
        <v>911</v>
      </c>
    </row>
    <row r="33" spans="1:4" ht="15.75" customHeight="1" x14ac:dyDescent="0.35">
      <c r="A33" s="5" t="s">
        <v>912</v>
      </c>
      <c r="B33" s="5" t="s">
        <v>89</v>
      </c>
      <c r="C33" s="5" t="s">
        <v>913</v>
      </c>
      <c r="D33" s="5" t="s">
        <v>914</v>
      </c>
    </row>
    <row r="34" spans="1:4" ht="15.75" customHeight="1" x14ac:dyDescent="0.35">
      <c r="A34" s="5" t="s">
        <v>915</v>
      </c>
      <c r="B34" s="5" t="s">
        <v>92</v>
      </c>
      <c r="C34" s="5" t="s">
        <v>916</v>
      </c>
      <c r="D34" s="5" t="s">
        <v>213</v>
      </c>
    </row>
    <row r="35" spans="1:4" ht="15.75" customHeight="1" x14ac:dyDescent="0.35">
      <c r="A35" s="5" t="s">
        <v>917</v>
      </c>
      <c r="B35" s="5" t="s">
        <v>92</v>
      </c>
      <c r="C35" s="5" t="s">
        <v>918</v>
      </c>
      <c r="D35" s="5" t="s">
        <v>655</v>
      </c>
    </row>
    <row r="36" spans="1:4" ht="15.75" customHeight="1" x14ac:dyDescent="0.35">
      <c r="A36" s="5" t="s">
        <v>93</v>
      </c>
      <c r="B36" s="5" t="s">
        <v>92</v>
      </c>
      <c r="C36" s="5" t="s">
        <v>919</v>
      </c>
      <c r="D36" s="5" t="s">
        <v>920</v>
      </c>
    </row>
    <row r="37" spans="1:4" ht="28.5" customHeight="1" x14ac:dyDescent="0.35">
      <c r="A37" s="5" t="s">
        <v>99</v>
      </c>
      <c r="B37" s="5" t="s">
        <v>92</v>
      </c>
      <c r="C37" s="5" t="s">
        <v>921</v>
      </c>
      <c r="D37" s="5" t="s">
        <v>69</v>
      </c>
    </row>
    <row r="38" spans="1:4" ht="15.75" customHeight="1" x14ac:dyDescent="0.35">
      <c r="A38" s="5" t="s">
        <v>922</v>
      </c>
      <c r="B38" s="5" t="s">
        <v>92</v>
      </c>
      <c r="C38" s="5" t="s">
        <v>923</v>
      </c>
      <c r="D38" s="5" t="s">
        <v>441</v>
      </c>
    </row>
    <row r="39" spans="1:4" ht="15.75" customHeight="1" x14ac:dyDescent="0.35">
      <c r="A39" s="5" t="s">
        <v>924</v>
      </c>
      <c r="B39" s="5" t="s">
        <v>92</v>
      </c>
      <c r="C39" s="5" t="s">
        <v>925</v>
      </c>
      <c r="D39" s="5" t="s">
        <v>926</v>
      </c>
    </row>
    <row r="40" spans="1:4" ht="15.75" customHeight="1" x14ac:dyDescent="0.35">
      <c r="A40" s="5" t="s">
        <v>927</v>
      </c>
      <c r="B40" s="5" t="s">
        <v>92</v>
      </c>
      <c r="C40" s="5" t="s">
        <v>928</v>
      </c>
      <c r="D40" s="5" t="s">
        <v>929</v>
      </c>
    </row>
    <row r="41" spans="1:4" ht="15.75" customHeight="1" x14ac:dyDescent="0.35">
      <c r="A41" s="5" t="s">
        <v>930</v>
      </c>
      <c r="B41" s="5" t="s">
        <v>92</v>
      </c>
      <c r="C41" s="5" t="s">
        <v>931</v>
      </c>
      <c r="D41" s="5" t="s">
        <v>620</v>
      </c>
    </row>
    <row r="42" spans="1:4" ht="15.75" customHeight="1" x14ac:dyDescent="0.35">
      <c r="A42" s="5" t="s">
        <v>932</v>
      </c>
      <c r="B42" s="5" t="s">
        <v>92</v>
      </c>
      <c r="C42" s="5" t="s">
        <v>933</v>
      </c>
      <c r="D42" s="5" t="s">
        <v>934</v>
      </c>
    </row>
    <row r="43" spans="1:4" ht="15.75" customHeight="1" x14ac:dyDescent="0.35">
      <c r="A43" s="5" t="s">
        <v>935</v>
      </c>
      <c r="B43" s="5" t="s">
        <v>92</v>
      </c>
      <c r="C43" s="5" t="s">
        <v>936</v>
      </c>
      <c r="D43" s="5" t="s">
        <v>753</v>
      </c>
    </row>
    <row r="44" spans="1:4" ht="28.5" customHeight="1" x14ac:dyDescent="0.35">
      <c r="A44" s="5" t="s">
        <v>937</v>
      </c>
      <c r="B44" s="5" t="s">
        <v>92</v>
      </c>
      <c r="C44" s="5" t="s">
        <v>938</v>
      </c>
      <c r="D44" s="5" t="s">
        <v>939</v>
      </c>
    </row>
    <row r="45" spans="1:4" ht="15.75" customHeight="1" x14ac:dyDescent="0.35">
      <c r="A45" s="5" t="s">
        <v>940</v>
      </c>
      <c r="B45" s="5" t="s">
        <v>92</v>
      </c>
      <c r="C45" s="5" t="s">
        <v>941</v>
      </c>
      <c r="D45" s="5" t="s">
        <v>640</v>
      </c>
    </row>
    <row r="46" spans="1:4" ht="28.5" customHeight="1" x14ac:dyDescent="0.35">
      <c r="A46" s="5" t="s">
        <v>942</v>
      </c>
      <c r="B46" s="5" t="s">
        <v>92</v>
      </c>
      <c r="C46" s="5" t="s">
        <v>943</v>
      </c>
      <c r="D46" s="5" t="s">
        <v>213</v>
      </c>
    </row>
    <row r="47" spans="1:4" ht="15.75" customHeight="1" x14ac:dyDescent="0.35">
      <c r="A47" s="5" t="s">
        <v>944</v>
      </c>
      <c r="B47" s="5" t="s">
        <v>92</v>
      </c>
      <c r="C47" s="5" t="s">
        <v>945</v>
      </c>
      <c r="D47" s="5" t="s">
        <v>586</v>
      </c>
    </row>
    <row r="48" spans="1:4" ht="28.5" customHeight="1" x14ac:dyDescent="0.35">
      <c r="A48" s="5" t="s">
        <v>946</v>
      </c>
      <c r="B48" s="5" t="s">
        <v>92</v>
      </c>
      <c r="C48" s="5" t="s">
        <v>947</v>
      </c>
      <c r="D48" s="5" t="s">
        <v>288</v>
      </c>
    </row>
    <row r="49" spans="1:4" ht="28.5" customHeight="1" x14ac:dyDescent="0.35">
      <c r="A49" s="5" t="s">
        <v>101</v>
      </c>
      <c r="B49" s="5" t="s">
        <v>92</v>
      </c>
      <c r="C49" s="5" t="s">
        <v>948</v>
      </c>
      <c r="D49" s="5" t="s">
        <v>949</v>
      </c>
    </row>
    <row r="50" spans="1:4" ht="15.75" customHeight="1" x14ac:dyDescent="0.35">
      <c r="A50" s="5" t="s">
        <v>950</v>
      </c>
      <c r="B50" s="5" t="s">
        <v>92</v>
      </c>
      <c r="C50" s="5" t="s">
        <v>951</v>
      </c>
      <c r="D50" s="5" t="s">
        <v>952</v>
      </c>
    </row>
    <row r="51" spans="1:4" ht="15.75" customHeight="1" x14ac:dyDescent="0.35">
      <c r="A51" s="5" t="s">
        <v>953</v>
      </c>
      <c r="B51" s="5" t="s">
        <v>92</v>
      </c>
      <c r="C51" s="5" t="s">
        <v>954</v>
      </c>
      <c r="D51" s="5" t="s">
        <v>320</v>
      </c>
    </row>
    <row r="52" spans="1:4" ht="15.75" customHeight="1" x14ac:dyDescent="0.35">
      <c r="A52" s="5" t="s">
        <v>97</v>
      </c>
      <c r="B52" s="5" t="s">
        <v>94</v>
      </c>
      <c r="C52" s="5" t="s">
        <v>955</v>
      </c>
      <c r="D52" s="5" t="s">
        <v>69</v>
      </c>
    </row>
    <row r="53" spans="1:4" ht="15.75" customHeight="1" x14ac:dyDescent="0.35">
      <c r="A53" s="5" t="s">
        <v>95</v>
      </c>
      <c r="B53" s="5" t="s">
        <v>94</v>
      </c>
      <c r="C53" s="5" t="s">
        <v>96</v>
      </c>
      <c r="D53" s="5" t="s">
        <v>69</v>
      </c>
    </row>
    <row r="54" spans="1:4" ht="15.75" customHeight="1" x14ac:dyDescent="0.35">
      <c r="A54" s="5" t="s">
        <v>956</v>
      </c>
      <c r="B54" s="5" t="s">
        <v>94</v>
      </c>
      <c r="C54" s="5" t="s">
        <v>957</v>
      </c>
      <c r="D54" s="5" t="s">
        <v>396</v>
      </c>
    </row>
    <row r="55" spans="1:4" ht="28.5" customHeight="1" x14ac:dyDescent="0.35">
      <c r="A55" s="5" t="s">
        <v>958</v>
      </c>
      <c r="B55" s="5" t="s">
        <v>94</v>
      </c>
      <c r="C55" s="5" t="s">
        <v>959</v>
      </c>
      <c r="D55" s="5" t="s">
        <v>691</v>
      </c>
    </row>
    <row r="56" spans="1:4" ht="15.75" customHeight="1" x14ac:dyDescent="0.35">
      <c r="A56" s="5" t="s">
        <v>960</v>
      </c>
      <c r="B56" s="5" t="s">
        <v>94</v>
      </c>
      <c r="C56" s="5" t="s">
        <v>961</v>
      </c>
      <c r="D56" s="5" t="s">
        <v>826</v>
      </c>
    </row>
    <row r="57" spans="1:4" ht="15.75" customHeight="1" x14ac:dyDescent="0.35">
      <c r="A57" s="5" t="s">
        <v>962</v>
      </c>
      <c r="B57" s="5" t="s">
        <v>94</v>
      </c>
      <c r="C57" s="5" t="s">
        <v>963</v>
      </c>
      <c r="D57" s="5" t="s">
        <v>680</v>
      </c>
    </row>
    <row r="58" spans="1:4" ht="15.75" customHeight="1" x14ac:dyDescent="0.35">
      <c r="A58" s="5" t="s">
        <v>964</v>
      </c>
      <c r="B58" s="5" t="s">
        <v>94</v>
      </c>
      <c r="C58" s="5" t="s">
        <v>965</v>
      </c>
      <c r="D58" s="5" t="s">
        <v>75</v>
      </c>
    </row>
    <row r="59" spans="1:4" ht="15.75" customHeight="1" x14ac:dyDescent="0.35">
      <c r="A59" s="5" t="s">
        <v>966</v>
      </c>
      <c r="B59" s="5" t="s">
        <v>94</v>
      </c>
      <c r="C59" s="5" t="s">
        <v>967</v>
      </c>
      <c r="D59" s="5" t="s">
        <v>968</v>
      </c>
    </row>
    <row r="60" spans="1:4" ht="15.75" customHeight="1" x14ac:dyDescent="0.35">
      <c r="A60" s="5" t="s">
        <v>969</v>
      </c>
      <c r="B60" s="5" t="s">
        <v>94</v>
      </c>
      <c r="C60" s="5" t="s">
        <v>970</v>
      </c>
      <c r="D60" s="5" t="s">
        <v>476</v>
      </c>
    </row>
    <row r="61" spans="1:4" ht="15.75" customHeight="1" x14ac:dyDescent="0.35">
      <c r="A61" s="5" t="s">
        <v>971</v>
      </c>
      <c r="B61" s="5" t="s">
        <v>94</v>
      </c>
      <c r="C61" s="5" t="s">
        <v>972</v>
      </c>
      <c r="D61" s="5" t="s">
        <v>655</v>
      </c>
    </row>
    <row r="62" spans="1:4" ht="15.75" customHeight="1" x14ac:dyDescent="0.35">
      <c r="A62" s="5" t="s">
        <v>973</v>
      </c>
      <c r="B62" s="5" t="s">
        <v>94</v>
      </c>
      <c r="C62" s="5" t="s">
        <v>974</v>
      </c>
      <c r="D62" s="5" t="s">
        <v>975</v>
      </c>
    </row>
    <row r="63" spans="1:4" ht="15.75" customHeight="1" x14ac:dyDescent="0.35">
      <c r="A63" s="5" t="s">
        <v>100</v>
      </c>
      <c r="B63" s="5" t="s">
        <v>94</v>
      </c>
      <c r="C63" s="5" t="s">
        <v>976</v>
      </c>
      <c r="D63" s="5" t="s">
        <v>69</v>
      </c>
    </row>
    <row r="64" spans="1:4" ht="28.5" customHeight="1" x14ac:dyDescent="0.35">
      <c r="A64" s="5" t="s">
        <v>977</v>
      </c>
      <c r="B64" s="5" t="s">
        <v>94</v>
      </c>
      <c r="C64" s="5" t="s">
        <v>978</v>
      </c>
      <c r="D64" s="5" t="s">
        <v>259</v>
      </c>
    </row>
    <row r="65" spans="1:4" ht="15.75" customHeight="1" x14ac:dyDescent="0.35">
      <c r="A65" s="5" t="s">
        <v>979</v>
      </c>
      <c r="B65" s="5" t="s">
        <v>94</v>
      </c>
      <c r="C65" s="5" t="s">
        <v>980</v>
      </c>
      <c r="D65" s="5" t="s">
        <v>981</v>
      </c>
    </row>
    <row r="66" spans="1:4" ht="15.75" customHeight="1" x14ac:dyDescent="0.35">
      <c r="A66" s="5" t="s">
        <v>982</v>
      </c>
      <c r="B66" s="5" t="s">
        <v>94</v>
      </c>
      <c r="C66" s="5" t="s">
        <v>983</v>
      </c>
      <c r="D66" s="5" t="s">
        <v>224</v>
      </c>
    </row>
    <row r="67" spans="1:4" ht="15.75" customHeight="1" x14ac:dyDescent="0.35">
      <c r="A67" s="5" t="s">
        <v>984</v>
      </c>
      <c r="B67" s="5" t="s">
        <v>94</v>
      </c>
      <c r="C67" s="5" t="s">
        <v>985</v>
      </c>
      <c r="D67" s="5" t="s">
        <v>224</v>
      </c>
    </row>
    <row r="68" spans="1:4" ht="15.75" customHeight="1" x14ac:dyDescent="0.35">
      <c r="A68" s="5" t="s">
        <v>986</v>
      </c>
      <c r="B68" s="5" t="s">
        <v>94</v>
      </c>
      <c r="C68" s="5" t="s">
        <v>987</v>
      </c>
      <c r="D68" s="5" t="s">
        <v>516</v>
      </c>
    </row>
    <row r="69" spans="1:4" ht="15.75" customHeight="1" x14ac:dyDescent="0.35">
      <c r="A69" s="5" t="s">
        <v>988</v>
      </c>
      <c r="B69" s="5" t="s">
        <v>94</v>
      </c>
      <c r="C69" s="5" t="s">
        <v>989</v>
      </c>
      <c r="D69" s="5" t="s">
        <v>482</v>
      </c>
    </row>
    <row r="70" spans="1:4" ht="15.75" customHeight="1" x14ac:dyDescent="0.35">
      <c r="A70" s="5" t="s">
        <v>990</v>
      </c>
      <c r="B70" s="5" t="s">
        <v>94</v>
      </c>
      <c r="C70" s="5" t="s">
        <v>991</v>
      </c>
      <c r="D70" s="5" t="s">
        <v>386</v>
      </c>
    </row>
    <row r="71" spans="1:4" ht="15.75" customHeight="1" x14ac:dyDescent="0.35">
      <c r="A71" s="5" t="s">
        <v>992</v>
      </c>
      <c r="B71" s="5" t="s">
        <v>94</v>
      </c>
      <c r="C71" s="5" t="s">
        <v>993</v>
      </c>
      <c r="D71" s="5" t="s">
        <v>640</v>
      </c>
    </row>
    <row r="72" spans="1:4" ht="15.75" customHeight="1" x14ac:dyDescent="0.35">
      <c r="A72" s="5" t="s">
        <v>994</v>
      </c>
      <c r="B72" s="5" t="s">
        <v>94</v>
      </c>
      <c r="C72" s="5" t="s">
        <v>995</v>
      </c>
      <c r="D72" s="5" t="s">
        <v>996</v>
      </c>
    </row>
    <row r="73" spans="1:4" ht="15.75" customHeight="1" x14ac:dyDescent="0.35">
      <c r="A73" s="5" t="s">
        <v>997</v>
      </c>
      <c r="B73" s="5" t="s">
        <v>94</v>
      </c>
      <c r="C73" s="5" t="s">
        <v>998</v>
      </c>
      <c r="D73" s="5" t="s">
        <v>999</v>
      </c>
    </row>
    <row r="74" spans="1:4" ht="15.75" customHeight="1" x14ac:dyDescent="0.35">
      <c r="A74" s="5" t="s">
        <v>1000</v>
      </c>
      <c r="B74" s="5" t="s">
        <v>94</v>
      </c>
      <c r="C74" s="5" t="s">
        <v>1001</v>
      </c>
      <c r="D74" s="5" t="s">
        <v>949</v>
      </c>
    </row>
    <row r="75" spans="1:4" ht="15.75" customHeight="1" x14ac:dyDescent="0.35">
      <c r="A75" s="5" t="s">
        <v>1002</v>
      </c>
      <c r="B75" s="5" t="s">
        <v>94</v>
      </c>
      <c r="C75" s="5" t="s">
        <v>1003</v>
      </c>
      <c r="D75" s="5" t="s">
        <v>1004</v>
      </c>
    </row>
    <row r="76" spans="1:4" ht="15.75" customHeight="1" x14ac:dyDescent="0.35">
      <c r="A76" s="5" t="s">
        <v>1005</v>
      </c>
      <c r="B76" s="5" t="s">
        <v>94</v>
      </c>
      <c r="C76" s="5" t="s">
        <v>1006</v>
      </c>
      <c r="D76" s="5" t="s">
        <v>600</v>
      </c>
    </row>
    <row r="77" spans="1:4" ht="15.75" customHeight="1" x14ac:dyDescent="0.35">
      <c r="A77" s="5" t="s">
        <v>1007</v>
      </c>
      <c r="B77" s="5" t="s">
        <v>94</v>
      </c>
      <c r="C77" s="5" t="s">
        <v>1008</v>
      </c>
      <c r="D77" s="5" t="s">
        <v>1009</v>
      </c>
    </row>
    <row r="78" spans="1:4" ht="15.75" customHeight="1" x14ac:dyDescent="0.35">
      <c r="A78" s="5" t="s">
        <v>1010</v>
      </c>
      <c r="B78" s="5" t="s">
        <v>94</v>
      </c>
      <c r="C78" s="5" t="s">
        <v>1011</v>
      </c>
      <c r="D78" s="5" t="s">
        <v>494</v>
      </c>
    </row>
    <row r="79" spans="1:4" ht="15.75" customHeight="1" x14ac:dyDescent="0.35">
      <c r="A79" s="5" t="s">
        <v>1012</v>
      </c>
      <c r="B79" s="5" t="s">
        <v>94</v>
      </c>
      <c r="C79" s="5" t="s">
        <v>1013</v>
      </c>
      <c r="D79" s="5" t="s">
        <v>1014</v>
      </c>
    </row>
    <row r="80" spans="1:4" ht="15.75" customHeight="1" x14ac:dyDescent="0.35">
      <c r="A80" s="5" t="s">
        <v>98</v>
      </c>
      <c r="B80" s="5" t="s">
        <v>94</v>
      </c>
      <c r="C80" s="5" t="s">
        <v>1015</v>
      </c>
      <c r="D80" s="5" t="s">
        <v>69</v>
      </c>
    </row>
    <row r="81" spans="1:4" ht="15.75" customHeight="1" x14ac:dyDescent="0.35">
      <c r="A81" s="5" t="s">
        <v>1016</v>
      </c>
      <c r="B81" s="5" t="s">
        <v>94</v>
      </c>
      <c r="C81" s="5" t="s">
        <v>1017</v>
      </c>
      <c r="D81" s="5" t="s">
        <v>748</v>
      </c>
    </row>
    <row r="82" spans="1:4" ht="15.75" customHeight="1" x14ac:dyDescent="0.35">
      <c r="A82" s="5" t="s">
        <v>1018</v>
      </c>
      <c r="B82" s="5" t="s">
        <v>94</v>
      </c>
      <c r="C82" s="5" t="s">
        <v>1019</v>
      </c>
      <c r="D82" s="5" t="s">
        <v>565</v>
      </c>
    </row>
    <row r="83" spans="1:4" ht="15.75" customHeight="1" x14ac:dyDescent="0.35">
      <c r="A83" s="5" t="s">
        <v>1020</v>
      </c>
      <c r="B83" s="5" t="s">
        <v>94</v>
      </c>
      <c r="C83" s="5" t="s">
        <v>1021</v>
      </c>
      <c r="D83" s="5" t="s">
        <v>810</v>
      </c>
    </row>
    <row r="84" spans="1:4" ht="15.75" customHeight="1" x14ac:dyDescent="0.35">
      <c r="A84" s="5" t="s">
        <v>1022</v>
      </c>
      <c r="B84" s="5" t="s">
        <v>94</v>
      </c>
      <c r="C84" s="5" t="s">
        <v>1023</v>
      </c>
      <c r="D84" s="5" t="s">
        <v>952</v>
      </c>
    </row>
    <row r="85" spans="1:4" ht="28.5" customHeight="1" x14ac:dyDescent="0.35">
      <c r="A85" s="5" t="s">
        <v>1024</v>
      </c>
      <c r="B85" s="5" t="s">
        <v>94</v>
      </c>
      <c r="C85" s="5" t="s">
        <v>1025</v>
      </c>
      <c r="D85" s="5" t="s">
        <v>555</v>
      </c>
    </row>
    <row r="86" spans="1:4" ht="15.75" customHeight="1" x14ac:dyDescent="0.35">
      <c r="A86" s="5" t="s">
        <v>1026</v>
      </c>
      <c r="B86" s="5" t="s">
        <v>94</v>
      </c>
      <c r="C86" s="5" t="s">
        <v>1027</v>
      </c>
      <c r="D86" s="5" t="s">
        <v>411</v>
      </c>
    </row>
  </sheetData>
  <autoFilter ref="A3:D86" xr:uid="{00000000-0009-0000-0000-00000E000000}"/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48235"/>
    <pageSetUpPr fitToPage="1"/>
  </sheetPr>
  <dimension ref="A1:D50"/>
  <sheetViews>
    <sheetView showGridLines="0" zoomScaleNormal="100" workbookViewId="0">
      <pane ySplit="3" topLeftCell="A4" activePane="bottomLeft" state="frozen"/>
      <selection pane="bottomLeft" activeCell="B61" sqref="B61"/>
    </sheetView>
  </sheetViews>
  <sheetFormatPr defaultColWidth="8.6328125" defaultRowHeight="14.5" x14ac:dyDescent="0.35"/>
  <cols>
    <col min="1" max="1" width="12" customWidth="1"/>
    <col min="2" max="2" width="46" customWidth="1"/>
    <col min="3" max="4" width="12" customWidth="1"/>
  </cols>
  <sheetData>
    <row r="1" spans="1:4" ht="15.5" x14ac:dyDescent="0.35">
      <c r="A1" s="1" t="s">
        <v>1085</v>
      </c>
    </row>
    <row r="2" spans="1:4" x14ac:dyDescent="0.35">
      <c r="A2" s="10"/>
    </row>
    <row r="3" spans="1:4" x14ac:dyDescent="0.35">
      <c r="A3" s="11" t="s">
        <v>102</v>
      </c>
      <c r="B3" s="11" t="s">
        <v>1028</v>
      </c>
      <c r="C3" s="11" t="s">
        <v>1029</v>
      </c>
      <c r="D3" s="11" t="s">
        <v>120</v>
      </c>
    </row>
    <row r="4" spans="1:4" x14ac:dyDescent="0.35">
      <c r="A4" s="12" t="s">
        <v>230</v>
      </c>
      <c r="B4" s="12" t="s">
        <v>1030</v>
      </c>
      <c r="C4" s="12">
        <f>COUNTIF('API Endpoints'!$K$4:$K$92,"*FR-A-001*")</f>
        <v>2</v>
      </c>
      <c r="D4" s="12" t="str">
        <f t="shared" ref="D4:D47" si="0">IF(C4&gt;0,"Covered","Gap")</f>
        <v>Covered</v>
      </c>
    </row>
    <row r="5" spans="1:4" x14ac:dyDescent="0.35">
      <c r="A5" s="12" t="s">
        <v>1031</v>
      </c>
      <c r="B5" s="12" t="s">
        <v>1032</v>
      </c>
      <c r="C5" s="12">
        <f>COUNTIF('API Endpoints'!$K$4:$K$92,"*FR-A-002*")</f>
        <v>1</v>
      </c>
      <c r="D5" s="12" t="str">
        <f t="shared" si="0"/>
        <v>Covered</v>
      </c>
    </row>
    <row r="6" spans="1:4" x14ac:dyDescent="0.35">
      <c r="A6" s="12" t="s">
        <v>239</v>
      </c>
      <c r="B6" s="12" t="s">
        <v>1033</v>
      </c>
      <c r="C6" s="12">
        <f>COUNTIF('API Endpoints'!$K$4:$K$92,"*FR-A-003*")</f>
        <v>2</v>
      </c>
      <c r="D6" s="12" t="str">
        <f t="shared" si="0"/>
        <v>Covered</v>
      </c>
    </row>
    <row r="7" spans="1:4" x14ac:dyDescent="0.35">
      <c r="A7" s="12" t="s">
        <v>1034</v>
      </c>
      <c r="B7" s="12" t="s">
        <v>1035</v>
      </c>
      <c r="C7" s="12">
        <f>COUNTIF('API Endpoints'!$K$4:$K$92,"*FR-A-004*")</f>
        <v>1</v>
      </c>
      <c r="D7" s="12" t="str">
        <f t="shared" si="0"/>
        <v>Covered</v>
      </c>
    </row>
    <row r="8" spans="1:4" x14ac:dyDescent="0.35">
      <c r="A8" s="12" t="s">
        <v>264</v>
      </c>
      <c r="B8" s="12" t="s">
        <v>1036</v>
      </c>
      <c r="C8" s="12">
        <f>COUNTIF('API Endpoints'!$K$4:$K$92,"*FR-A-005*")</f>
        <v>3</v>
      </c>
      <c r="D8" s="12" t="str">
        <f t="shared" si="0"/>
        <v>Covered</v>
      </c>
    </row>
    <row r="9" spans="1:4" x14ac:dyDescent="0.35">
      <c r="A9" s="12" t="s">
        <v>279</v>
      </c>
      <c r="B9" s="12" t="s">
        <v>1037</v>
      </c>
      <c r="C9" s="12">
        <f>COUNTIF('API Endpoints'!$K$4:$K$92,"*FR-A-006*")</f>
        <v>2</v>
      </c>
      <c r="D9" s="12" t="str">
        <f t="shared" si="0"/>
        <v>Covered</v>
      </c>
    </row>
    <row r="10" spans="1:4" x14ac:dyDescent="0.35">
      <c r="A10" s="12" t="s">
        <v>1038</v>
      </c>
      <c r="B10" s="12" t="s">
        <v>1039</v>
      </c>
      <c r="C10" s="12">
        <f>COUNTIF('API Endpoints'!$K$4:$K$92,"*FR-A-007*")</f>
        <v>1</v>
      </c>
      <c r="D10" s="12" t="str">
        <f t="shared" si="0"/>
        <v>Covered</v>
      </c>
    </row>
    <row r="11" spans="1:4" x14ac:dyDescent="0.35">
      <c r="A11" s="12" t="s">
        <v>294</v>
      </c>
      <c r="B11" s="12" t="s">
        <v>1040</v>
      </c>
      <c r="C11" s="12">
        <f>COUNTIF('API Endpoints'!$K$4:$K$92,"*FR-A-008*")</f>
        <v>1</v>
      </c>
      <c r="D11" s="12" t="str">
        <f t="shared" si="0"/>
        <v>Covered</v>
      </c>
    </row>
    <row r="12" spans="1:4" x14ac:dyDescent="0.35">
      <c r="A12" s="12" t="s">
        <v>303</v>
      </c>
      <c r="B12" s="12" t="s">
        <v>1041</v>
      </c>
      <c r="C12" s="12">
        <f>COUNTIF('API Endpoints'!$K$4:$K$92,"*FR-B-001*")</f>
        <v>8</v>
      </c>
      <c r="D12" s="12" t="str">
        <f t="shared" si="0"/>
        <v>Covered</v>
      </c>
    </row>
    <row r="13" spans="1:4" x14ac:dyDescent="0.35">
      <c r="A13" s="12" t="s">
        <v>116</v>
      </c>
      <c r="B13" s="12" t="s">
        <v>1042</v>
      </c>
      <c r="C13" s="12">
        <f>COUNTIF('API Endpoints'!$K$4:$K$92,"*FR-B-002*")</f>
        <v>2</v>
      </c>
      <c r="D13" s="12" t="str">
        <f t="shared" si="0"/>
        <v>Covered</v>
      </c>
    </row>
    <row r="14" spans="1:4" x14ac:dyDescent="0.35">
      <c r="A14" s="12" t="s">
        <v>362</v>
      </c>
      <c r="B14" s="12" t="s">
        <v>1043</v>
      </c>
      <c r="C14" s="12">
        <f>COUNTIF('API Endpoints'!$K$4:$K$92,"*FR-B-003*")</f>
        <v>3</v>
      </c>
      <c r="D14" s="12" t="str">
        <f t="shared" si="0"/>
        <v>Covered</v>
      </c>
    </row>
    <row r="15" spans="1:4" x14ac:dyDescent="0.35">
      <c r="A15" s="12" t="s">
        <v>376</v>
      </c>
      <c r="B15" s="12" t="s">
        <v>1044</v>
      </c>
      <c r="C15" s="12">
        <f>COUNTIF('API Endpoints'!$K$4:$K$92,"*FR-B-004*")</f>
        <v>3</v>
      </c>
      <c r="D15" s="12" t="str">
        <f t="shared" si="0"/>
        <v>Covered</v>
      </c>
    </row>
    <row r="16" spans="1:4" x14ac:dyDescent="0.35">
      <c r="A16" s="12" t="s">
        <v>391</v>
      </c>
      <c r="B16" s="12" t="s">
        <v>1045</v>
      </c>
      <c r="C16" s="12">
        <f>COUNTIF('API Endpoints'!$K$4:$K$92,"*FR-B-005*")</f>
        <v>2</v>
      </c>
      <c r="D16" s="12" t="str">
        <f t="shared" si="0"/>
        <v>Covered</v>
      </c>
    </row>
    <row r="17" spans="1:4" x14ac:dyDescent="0.35">
      <c r="A17" s="12" t="s">
        <v>408</v>
      </c>
      <c r="B17" s="12" t="s">
        <v>1046</v>
      </c>
      <c r="C17" s="12">
        <f>COUNTIF('API Endpoints'!$K$4:$K$92,"*FR-B-006*")</f>
        <v>1</v>
      </c>
      <c r="D17" s="12" t="str">
        <f t="shared" si="0"/>
        <v>Covered</v>
      </c>
    </row>
    <row r="18" spans="1:4" x14ac:dyDescent="0.35">
      <c r="A18" s="12" t="s">
        <v>417</v>
      </c>
      <c r="B18" s="12" t="s">
        <v>1047</v>
      </c>
      <c r="C18" s="12">
        <f>COUNTIF('API Endpoints'!$K$4:$K$92,"*FR-B-007*")</f>
        <v>1</v>
      </c>
      <c r="D18" s="12" t="str">
        <f t="shared" si="0"/>
        <v>Covered</v>
      </c>
    </row>
    <row r="19" spans="1:4" x14ac:dyDescent="0.35">
      <c r="A19" s="12" t="s">
        <v>437</v>
      </c>
      <c r="B19" s="12" t="s">
        <v>1048</v>
      </c>
      <c r="C19" s="12">
        <f>COUNTIF('API Endpoints'!$K$4:$K$92,"*FR-C-001*")</f>
        <v>4</v>
      </c>
      <c r="D19" s="12" t="str">
        <f t="shared" si="0"/>
        <v>Covered</v>
      </c>
    </row>
    <row r="20" spans="1:4" x14ac:dyDescent="0.35">
      <c r="A20" s="12" t="s">
        <v>459</v>
      </c>
      <c r="B20" s="12" t="s">
        <v>1049</v>
      </c>
      <c r="C20" s="12">
        <f>COUNTIF('API Endpoints'!$K$4:$K$92,"*FR-C-002*")</f>
        <v>2</v>
      </c>
      <c r="D20" s="12" t="str">
        <f t="shared" si="0"/>
        <v>Covered</v>
      </c>
    </row>
    <row r="21" spans="1:4" x14ac:dyDescent="0.35">
      <c r="A21" s="12" t="s">
        <v>466</v>
      </c>
      <c r="B21" s="12" t="s">
        <v>1050</v>
      </c>
      <c r="C21" s="12">
        <f>COUNTIF('API Endpoints'!$K$4:$K$92,"*FR-C-003*")</f>
        <v>3</v>
      </c>
      <c r="D21" s="12" t="str">
        <f t="shared" si="0"/>
        <v>Covered</v>
      </c>
    </row>
    <row r="22" spans="1:4" x14ac:dyDescent="0.35">
      <c r="A22" s="12" t="s">
        <v>473</v>
      </c>
      <c r="B22" s="12" t="s">
        <v>1051</v>
      </c>
      <c r="C22" s="12">
        <f>COUNTIF('API Endpoints'!$K$4:$K$92,"*FR-C-004*")</f>
        <v>2</v>
      </c>
      <c r="D22" s="12" t="str">
        <f t="shared" si="0"/>
        <v>Covered</v>
      </c>
    </row>
    <row r="23" spans="1:4" x14ac:dyDescent="0.35">
      <c r="A23" s="12" t="s">
        <v>512</v>
      </c>
      <c r="B23" s="12" t="s">
        <v>1052</v>
      </c>
      <c r="C23" s="12">
        <f>COUNTIF('API Endpoints'!$K$4:$K$92,"*FR-C-005*")</f>
        <v>1</v>
      </c>
      <c r="D23" s="12" t="str">
        <f t="shared" si="0"/>
        <v>Covered</v>
      </c>
    </row>
    <row r="24" spans="1:4" x14ac:dyDescent="0.35">
      <c r="A24" s="12" t="s">
        <v>505</v>
      </c>
      <c r="B24" s="12" t="s">
        <v>1053</v>
      </c>
      <c r="C24" s="12">
        <f>COUNTIF('API Endpoints'!$K$4:$K$92,"*FR-C-006*")</f>
        <v>1</v>
      </c>
      <c r="D24" s="12" t="str">
        <f t="shared" si="0"/>
        <v>Covered</v>
      </c>
    </row>
    <row r="25" spans="1:4" x14ac:dyDescent="0.35">
      <c r="A25" s="12" t="s">
        <v>522</v>
      </c>
      <c r="B25" s="12" t="s">
        <v>1054</v>
      </c>
      <c r="C25" s="12">
        <f>COUNTIF('API Endpoints'!$K$4:$K$92,"*FR-C-007*")</f>
        <v>1</v>
      </c>
      <c r="D25" s="12" t="str">
        <f t="shared" si="0"/>
        <v>Covered</v>
      </c>
    </row>
    <row r="26" spans="1:4" x14ac:dyDescent="0.35">
      <c r="A26" s="12" t="s">
        <v>531</v>
      </c>
      <c r="B26" s="12" t="s">
        <v>1055</v>
      </c>
      <c r="C26" s="12">
        <f>COUNTIF('API Endpoints'!$K$4:$K$92,"*FR-C-008*")</f>
        <v>1</v>
      </c>
      <c r="D26" s="12" t="str">
        <f t="shared" si="0"/>
        <v>Covered</v>
      </c>
    </row>
    <row r="27" spans="1:4" x14ac:dyDescent="0.35">
      <c r="A27" s="12" t="s">
        <v>546</v>
      </c>
      <c r="B27" s="12" t="s">
        <v>1056</v>
      </c>
      <c r="C27" s="12">
        <f>COUNTIF('API Endpoints'!$K$4:$K$92,"*FR-D-001*")</f>
        <v>2</v>
      </c>
      <c r="D27" s="12" t="str">
        <f t="shared" si="0"/>
        <v>Covered</v>
      </c>
    </row>
    <row r="28" spans="1:4" x14ac:dyDescent="0.35">
      <c r="A28" s="12" t="s">
        <v>561</v>
      </c>
      <c r="B28" s="12" t="s">
        <v>1057</v>
      </c>
      <c r="C28" s="12">
        <f>COUNTIF('API Endpoints'!$K$4:$K$92,"*FR-D-002*")</f>
        <v>2</v>
      </c>
      <c r="D28" s="12" t="str">
        <f t="shared" si="0"/>
        <v>Covered</v>
      </c>
    </row>
    <row r="29" spans="1:4" x14ac:dyDescent="0.35">
      <c r="A29" s="12" t="s">
        <v>1058</v>
      </c>
      <c r="B29" s="12" t="s">
        <v>1059</v>
      </c>
      <c r="C29" s="12">
        <f>COUNTIF('API Endpoints'!$K$4:$K$92,"*FR-D-003*")</f>
        <v>1</v>
      </c>
      <c r="D29" s="12" t="str">
        <f t="shared" si="0"/>
        <v>Covered</v>
      </c>
    </row>
    <row r="30" spans="1:4" x14ac:dyDescent="0.35">
      <c r="A30" s="12" t="s">
        <v>1060</v>
      </c>
      <c r="B30" s="12" t="s">
        <v>1061</v>
      </c>
      <c r="C30" s="12">
        <f>COUNTIF('API Endpoints'!$K$4:$K$92,"*FR-D-004*")</f>
        <v>1</v>
      </c>
      <c r="D30" s="12" t="str">
        <f t="shared" si="0"/>
        <v>Covered</v>
      </c>
    </row>
    <row r="31" spans="1:4" x14ac:dyDescent="0.35">
      <c r="A31" s="12" t="s">
        <v>592</v>
      </c>
      <c r="B31" s="12" t="s">
        <v>1062</v>
      </c>
      <c r="C31" s="12">
        <f>COUNTIF('API Endpoints'!$K$4:$K$92,"*FR-D-005*")</f>
        <v>2</v>
      </c>
      <c r="D31" s="12" t="str">
        <f t="shared" si="0"/>
        <v>Covered</v>
      </c>
    </row>
    <row r="32" spans="1:4" x14ac:dyDescent="0.35">
      <c r="A32" s="12" t="s">
        <v>1063</v>
      </c>
      <c r="B32" s="12" t="s">
        <v>1064</v>
      </c>
      <c r="C32" s="12">
        <f>COUNTIF('API Endpoints'!$K$4:$K$92,"*FR-D-006*")</f>
        <v>1</v>
      </c>
      <c r="D32" s="12" t="str">
        <f t="shared" si="0"/>
        <v>Covered</v>
      </c>
    </row>
    <row r="33" spans="1:4" x14ac:dyDescent="0.35">
      <c r="A33" s="12" t="s">
        <v>606</v>
      </c>
      <c r="B33" s="12" t="s">
        <v>1065</v>
      </c>
      <c r="C33" s="12">
        <f>COUNTIF('API Endpoints'!$K$4:$K$92,"*FR-D-007*")</f>
        <v>3</v>
      </c>
      <c r="D33" s="12" t="str">
        <f t="shared" si="0"/>
        <v>Covered</v>
      </c>
    </row>
    <row r="34" spans="1:4" x14ac:dyDescent="0.35">
      <c r="A34" s="12" t="s">
        <v>626</v>
      </c>
      <c r="B34" s="12" t="s">
        <v>1066</v>
      </c>
      <c r="C34" s="12">
        <f>COUNTIF('API Endpoints'!$K$4:$K$92,"*FR-E-001*")</f>
        <v>3</v>
      </c>
      <c r="D34" s="12" t="str">
        <f t="shared" si="0"/>
        <v>Covered</v>
      </c>
    </row>
    <row r="35" spans="1:4" x14ac:dyDescent="0.35">
      <c r="A35" s="12" t="s">
        <v>106</v>
      </c>
      <c r="B35" s="12" t="s">
        <v>1067</v>
      </c>
      <c r="C35" s="12">
        <f>COUNTIF('API Endpoints'!$K$4:$K$92,"*FR-E-002*")</f>
        <v>4</v>
      </c>
      <c r="D35" s="12" t="str">
        <f t="shared" si="0"/>
        <v>Covered</v>
      </c>
    </row>
    <row r="36" spans="1:4" x14ac:dyDescent="0.35">
      <c r="A36" s="12" t="s">
        <v>666</v>
      </c>
      <c r="B36" s="12" t="s">
        <v>1068</v>
      </c>
      <c r="C36" s="12">
        <f>COUNTIF('API Endpoints'!$K$4:$K$92,"*FR-E-003*")</f>
        <v>2</v>
      </c>
      <c r="D36" s="12" t="str">
        <f t="shared" si="0"/>
        <v>Covered</v>
      </c>
    </row>
    <row r="37" spans="1:4" x14ac:dyDescent="0.35">
      <c r="A37" s="12" t="s">
        <v>109</v>
      </c>
      <c r="B37" s="12" t="s">
        <v>1069</v>
      </c>
      <c r="C37" s="12">
        <f>COUNTIF('API Endpoints'!$K$4:$K$92,"*FR-E-004*")</f>
        <v>2</v>
      </c>
      <c r="D37" s="12" t="str">
        <f t="shared" si="0"/>
        <v>Covered</v>
      </c>
    </row>
    <row r="38" spans="1:4" x14ac:dyDescent="0.35">
      <c r="A38" s="12" t="s">
        <v>686</v>
      </c>
      <c r="B38" s="12" t="s">
        <v>1070</v>
      </c>
      <c r="C38" s="12">
        <f>COUNTIF('API Endpoints'!$K$4:$K$92,"*FR-E-005*")</f>
        <v>2</v>
      </c>
      <c r="D38" s="12" t="str">
        <f t="shared" si="0"/>
        <v>Covered</v>
      </c>
    </row>
    <row r="39" spans="1:4" x14ac:dyDescent="0.35">
      <c r="A39" s="12" t="s">
        <v>113</v>
      </c>
      <c r="B39" s="12" t="s">
        <v>1071</v>
      </c>
      <c r="C39" s="12">
        <f>COUNTIF('API Endpoints'!$K$4:$K$92,"*FR-E-006*")</f>
        <v>1</v>
      </c>
      <c r="D39" s="12" t="str">
        <f t="shared" si="0"/>
        <v>Covered</v>
      </c>
    </row>
    <row r="40" spans="1:4" x14ac:dyDescent="0.35">
      <c r="A40" s="12" t="s">
        <v>706</v>
      </c>
      <c r="B40" s="12" t="s">
        <v>1072</v>
      </c>
      <c r="C40" s="12">
        <f>COUNTIF('API Endpoints'!$K$4:$K$92,"*FR-E-007*")</f>
        <v>1</v>
      </c>
      <c r="D40" s="12" t="str">
        <f t="shared" si="0"/>
        <v>Covered</v>
      </c>
    </row>
    <row r="41" spans="1:4" x14ac:dyDescent="0.35">
      <c r="A41" s="12" t="s">
        <v>718</v>
      </c>
      <c r="B41" s="12" t="s">
        <v>1073</v>
      </c>
      <c r="C41" s="12">
        <f>COUNTIF('API Endpoints'!$K$4:$K$92,"*FR-F-001*")</f>
        <v>3</v>
      </c>
      <c r="D41" s="12" t="str">
        <f t="shared" si="0"/>
        <v>Covered</v>
      </c>
    </row>
    <row r="42" spans="1:4" x14ac:dyDescent="0.35">
      <c r="A42" s="12" t="s">
        <v>788</v>
      </c>
      <c r="B42" s="12" t="s">
        <v>1074</v>
      </c>
      <c r="C42" s="12">
        <f>COUNTIF('API Endpoints'!$K$4:$K$92,"*FR-F-002*")</f>
        <v>3</v>
      </c>
      <c r="D42" s="12" t="str">
        <f t="shared" si="0"/>
        <v>Covered</v>
      </c>
    </row>
    <row r="43" spans="1:4" x14ac:dyDescent="0.35">
      <c r="A43" s="12" t="s">
        <v>807</v>
      </c>
      <c r="B43" s="12" t="s">
        <v>1075</v>
      </c>
      <c r="C43" s="12">
        <f>COUNTIF('API Endpoints'!$K$4:$K$92,"*FR-F-003*")</f>
        <v>1</v>
      </c>
      <c r="D43" s="12" t="str">
        <f t="shared" si="0"/>
        <v>Covered</v>
      </c>
    </row>
    <row r="44" spans="1:4" x14ac:dyDescent="0.35">
      <c r="A44" s="12" t="s">
        <v>816</v>
      </c>
      <c r="B44" s="12" t="s">
        <v>1076</v>
      </c>
      <c r="C44" s="12">
        <f>COUNTIF('API Endpoints'!$K$4:$K$92,"*FR-F-004*")</f>
        <v>2</v>
      </c>
      <c r="D44" s="12" t="str">
        <f t="shared" si="0"/>
        <v>Covered</v>
      </c>
    </row>
    <row r="45" spans="1:4" x14ac:dyDescent="0.35">
      <c r="A45" s="12" t="s">
        <v>759</v>
      </c>
      <c r="B45" s="12" t="s">
        <v>1077</v>
      </c>
      <c r="C45" s="12">
        <f>COUNTIF('API Endpoints'!$K$4:$K$92,"*FR-F-005*")</f>
        <v>5</v>
      </c>
      <c r="D45" s="12" t="str">
        <f t="shared" si="0"/>
        <v>Covered</v>
      </c>
    </row>
    <row r="46" spans="1:4" x14ac:dyDescent="0.35">
      <c r="A46" s="12" t="s">
        <v>745</v>
      </c>
      <c r="B46" s="12" t="s">
        <v>1078</v>
      </c>
      <c r="C46" s="12">
        <f>COUNTIF('API Endpoints'!$K$4:$K$92,"*FR-F-006*")</f>
        <v>4</v>
      </c>
      <c r="D46" s="12" t="str">
        <f t="shared" si="0"/>
        <v>Covered</v>
      </c>
    </row>
    <row r="47" spans="1:4" x14ac:dyDescent="0.35">
      <c r="A47" s="12" t="s">
        <v>832</v>
      </c>
      <c r="B47" s="12" t="s">
        <v>1079</v>
      </c>
      <c r="C47" s="12">
        <f>COUNTIF('API Endpoints'!$K$4:$K$92,"*FR-F-007*")</f>
        <v>1</v>
      </c>
      <c r="D47" s="12" t="str">
        <f t="shared" si="0"/>
        <v>Covered</v>
      </c>
    </row>
    <row r="49" spans="2:3" x14ac:dyDescent="0.35">
      <c r="B49" s="13" t="s">
        <v>1080</v>
      </c>
      <c r="C49" s="13">
        <f>COUNTIF(D4:D47,"Covered")</f>
        <v>44</v>
      </c>
    </row>
    <row r="50" spans="2:3" x14ac:dyDescent="0.35">
      <c r="B50" s="13" t="s">
        <v>1081</v>
      </c>
      <c r="C50" s="13">
        <f>COUNTA(A4:A47)</f>
        <v>44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Ref Standards</vt:lpstr>
      <vt:lpstr>Ref Codes</vt:lpstr>
      <vt:lpstr>API Endpoints</vt:lpstr>
      <vt:lpstr>Errors</vt:lpstr>
      <vt:lpstr>FR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2026-10-02T08:39:07Z</dcterms:created>
  <dcterms:modified xsi:type="dcterms:W3CDTF">2026-10-12T06:37:18Z</dcterms:modified>
  <dc:language>en-US</dc:language>
</cp:coreProperties>
</file>